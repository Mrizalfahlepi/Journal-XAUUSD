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6384" windowHeight="8192" tabRatio="500"/>
  </bookViews>
  <sheets>
    <sheet name="Checklist" sheetId="1" r:id="rId1"/>
  </sheets>
  <calcPr calcId="144525"/>
</workbook>
</file>

<file path=xl/sharedStrings.xml><?xml version="1.0" encoding="utf-8"?>
<sst xmlns="http://schemas.openxmlformats.org/spreadsheetml/2006/main" count="30">
  <si>
    <t>JURNAL TARGET HARIAN XAUUSD (USC) - 5% PER HARI x 130 HARI KERJA</t>
  </si>
  <si>
    <t>Modal awal (USC)</t>
  </si>
  <si>
    <t>Total profit (USC)</t>
  </si>
  <si>
    <t>Kurs: 1 USC = Rp</t>
  </si>
  <si>
    <t>Total profit (Rp)</t>
  </si>
  <si>
    <t>Target per hari</t>
  </si>
  <si>
    <t>Saldo aktual (USC)</t>
  </si>
  <si>
    <t>Tanggal mulai</t>
  </si>
  <si>
    <t>Saldo aktual (Rp)</t>
  </si>
  <si>
    <t>Modal awal setara (Rp)</t>
  </si>
  <si>
    <t>Hari tercapai</t>
  </si>
  <si>
    <t>Posisi vs jalur target (USC)</t>
  </si>
  <si>
    <t>Cara pakai: isi HANYA kolom kuning 'Profit Aktual (USC)' tiap hari (minus pakai tanda -, contoh -50). Semua kolom lain, termasuk Rupiah, terhitung otomatis. Isi berurutan dari atas.</t>
  </si>
  <si>
    <t>Data 1-2 Okt 2026 diisi dari riwayat MT5 (profit trade tertutup). Kurs 179 dari layar penarikan; ubah di sel kuning kalau kurs berubah.</t>
  </si>
  <si>
    <t>No</t>
  </si>
  <si>
    <t>Tanggal</t>
  </si>
  <si>
    <t>Hari</t>
  </si>
  <si>
    <t>Profit Aktual (USC)</t>
  </si>
  <si>
    <t>Profit Aktual (Rp)</t>
  </si>
  <si>
    <t>Saldo Aktual (USC)</t>
  </si>
  <si>
    <t>Saldo Aktual (Rp)</t>
  </si>
  <si>
    <t>Profit %</t>
  </si>
  <si>
    <t>Tercapai?</t>
  </si>
  <si>
    <t>Target Profit (USC)</t>
  </si>
  <si>
    <t>Target Saldo (USC)</t>
  </si>
  <si>
    <t>Target Saldo (Rp)</t>
  </si>
  <si>
    <t>Catatan</t>
  </si>
  <si>
    <t>2 trade: +79,30 dan +61,40</t>
  </si>
  <si>
    <t>3 trade: -6,40 / +235,90 / -39,10</t>
  </si>
  <si>
    <t>Baris emas di kolom Target Saldo (Rp) = hari pertama target menembus Rp100 juta. Hari kerja Senin-Jumat, libur Natal/Tahun Baru belum dikurangi. Saldo aktual dihitung dari modal + total profit (penarikan dana tidak ikut dikurangi).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</si>
</sst>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176" formatCode="\+#,##0.00;\-#,##0.00;0.00"/>
    <numFmt numFmtId="42" formatCode="_(&quot;$&quot;* #,##0_);_(&quot;$&quot;* \(#,##0\);_(&quot;$&quot;* &quot;-&quot;_);_(@_)"/>
    <numFmt numFmtId="177" formatCode="0.0%"/>
    <numFmt numFmtId="178" formatCode="#,##0.0"/>
    <numFmt numFmtId="44" formatCode="_(&quot;$&quot;* #,##0.00_);_(&quot;$&quot;* \(#,##0.00\);_(&quot;$&quot;* &quot;-&quot;??_);_(@_)"/>
    <numFmt numFmtId="179" formatCode="dd\ mmm\ yyyy"/>
    <numFmt numFmtId="43" formatCode="_(* #,##0.00_);_(* \(#,##0.00\);_(* &quot;-&quot;??_);_(@_)"/>
    <numFmt numFmtId="41" formatCode="_(* #,##0_);_(* \(#,##0\);_(* &quot;-&quot;_);_(@_)"/>
  </numFmts>
  <fonts count="29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/>
    <xf numFmtId="0" fontId="11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42" fontId="8" fillId="0" borderId="0" applyBorder="0" applyAlignment="0" applyProtection="0"/>
    <xf numFmtId="43" fontId="8" fillId="0" borderId="0" applyBorder="0" applyAlignment="0" applyProtection="0"/>
    <xf numFmtId="0" fontId="20" fillId="12" borderId="5" applyNumberFormat="0" applyFon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7" fillId="29" borderId="8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9" fontId="8" fillId="0" borderId="0" applyBorder="0" applyAlignment="0" applyProtection="0"/>
    <xf numFmtId="0" fontId="9" fillId="0" borderId="2" applyNumberFormat="0" applyFill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3" fillId="2" borderId="1" xfId="0" applyNumberFormat="1" applyFont="1" applyFill="1" applyBorder="1" applyAlignment="1">
      <alignment horizontal="right"/>
    </xf>
    <xf numFmtId="178" fontId="3" fillId="2" borderId="1" xfId="0" applyNumberFormat="1" applyFont="1" applyFill="1" applyBorder="1" applyAlignment="1">
      <alignment horizontal="right"/>
    </xf>
    <xf numFmtId="177" fontId="3" fillId="2" borderId="1" xfId="0" applyNumberFormat="1" applyFont="1" applyFill="1" applyBorder="1" applyAlignment="1">
      <alignment horizontal="right"/>
    </xf>
    <xf numFmtId="179" fontId="3" fillId="2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4" fontId="7" fillId="2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/>
    </xf>
  </cellXfs>
  <cellStyles count="49">
    <cellStyle name="Normal" xfId="0" builtinId="0"/>
    <cellStyle name="60 % - Markierung6" xfId="1" builtinId="52"/>
    <cellStyle name="40 % - Markierung6" xfId="2" builtinId="51"/>
    <cellStyle name="Verknüpfte Zelle" xfId="3" builtinId="24"/>
    <cellStyle name="20 % - Markierung6" xfId="4" builtinId="50"/>
    <cellStyle name="60 % - Markierung5" xfId="5" builtinId="48"/>
    <cellStyle name="20 % - Markierung5" xfId="6" builtinId="46"/>
    <cellStyle name="60 % - Markierung4" xfId="7" builtinId="44"/>
    <cellStyle name="60 % - Markierung3" xfId="8" builtinId="40"/>
    <cellStyle name="40 % - Markierung3" xfId="9" builtinId="39"/>
    <cellStyle name="Aksen3" xfId="10" builtinId="37"/>
    <cellStyle name="60 % - Markierung2" xfId="11" builtinId="36"/>
    <cellStyle name="Tautan" xfId="12" builtinId="8"/>
    <cellStyle name="Teks Peringatan" xfId="13" builtinId="11"/>
    <cellStyle name="60 % - Markierung1" xfId="14" builtinId="32"/>
    <cellStyle name="Aksen5" xfId="15" builtinId="45"/>
    <cellStyle name="40 % - Markierung1" xfId="16" builtinId="31"/>
    <cellStyle name="20 % - Markierung1" xfId="17" builtinId="30"/>
    <cellStyle name="Aksen4" xfId="18" builtinId="41"/>
    <cellStyle name="Buruk" xfId="19" builtinId="27"/>
    <cellStyle name="Aksen1" xfId="20" builtinId="29"/>
    <cellStyle name="Aksen2" xfId="21" builtinId="33"/>
    <cellStyle name="Überschrift 1" xfId="22" builtinId="16"/>
    <cellStyle name="Netral" xfId="23" builtinId="28"/>
    <cellStyle name="Judul" xfId="24" builtinId="15"/>
    <cellStyle name="Baik" xfId="25" builtinId="26"/>
    <cellStyle name="Aksen6" xfId="26" builtinId="49"/>
    <cellStyle name="Keluaran" xfId="27" builtinId="21"/>
    <cellStyle name="40 % - Markierung2" xfId="28" builtinId="35"/>
    <cellStyle name="Tautan Terikuti" xfId="29" builtinId="9"/>
    <cellStyle name="Zelle überprüfen" xfId="30" builtinId="23"/>
    <cellStyle name="20 % - Markierung2" xfId="31" builtinId="34"/>
    <cellStyle name="40 % - Markierung5" xfId="32" builtinId="47"/>
    <cellStyle name="Perhitungan" xfId="33" builtinId="22"/>
    <cellStyle name="Erklärender Text" xfId="34" builtinId="53"/>
    <cellStyle name="Überschrift 4" xfId="35" builtinId="19"/>
    <cellStyle name="40 % - Markierung4" xfId="36" builtinId="43"/>
    <cellStyle name="Währung[0]" xfId="37" builtinId="7"/>
    <cellStyle name="Koma" xfId="38" builtinId="3"/>
    <cellStyle name="Catatan" xfId="39" builtinId="10"/>
    <cellStyle name="20 % - Markierung4" xfId="40" builtinId="42"/>
    <cellStyle name="Total" xfId="41" builtinId="25"/>
    <cellStyle name="20 % - Markierung3" xfId="42" builtinId="38"/>
    <cellStyle name="Masukan" xfId="43" builtinId="20"/>
    <cellStyle name="Überschrift 3" xfId="44" builtinId="18"/>
    <cellStyle name="Persentase" xfId="45" builtinId="5"/>
    <cellStyle name="Überschrift 2" xfId="46" builtinId="17"/>
    <cellStyle name="Koma[0]" xfId="47" builtinId="6"/>
    <cellStyle name="Währung" xfId="48" builtinId="4"/>
  </cellStyles>
  <dxfs count="20">
    <dxf>
      <font>
        <b val="1"/>
      </font>
      <fill>
        <patternFill patternType="solid">
          <bgColor rgb="FFFFD966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267968C86FFD4C36ACC19EA1FD1885CA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D966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44"/>
  <sheetViews>
    <sheetView tabSelected="1" zoomScale="58" zoomScaleNormal="58" workbookViewId="0">
      <pane xSplit="3" ySplit="12" topLeftCell="D13" activePane="bottomRight" state="frozen"/>
      <selection/>
      <selection pane="topRight"/>
      <selection pane="bottomLeft"/>
      <selection pane="bottomRight" activeCell="D15" sqref="D15"/>
    </sheetView>
  </sheetViews>
  <sheetFormatPr defaultColWidth="9.81818181818182" defaultRowHeight="13.25"/>
  <cols>
    <col min="1" max="1" width="6" customWidth="1"/>
    <col min="2" max="2" width="14" customWidth="1"/>
    <col min="3" max="3" width="10" customWidth="1"/>
    <col min="4" max="4" width="16" customWidth="1"/>
    <col min="5" max="5" width="15" customWidth="1"/>
    <col min="6" max="7" width="16" customWidth="1"/>
    <col min="8" max="9" width="10" customWidth="1"/>
    <col min="10" max="10" width="15" customWidth="1"/>
    <col min="11" max="11" width="16" customWidth="1"/>
    <col min="12" max="12" width="17" customWidth="1"/>
    <col min="13" max="13" width="32" customWidth="1"/>
  </cols>
  <sheetData>
    <row r="1" ht="16.3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9">
      <c r="A3" s="2" t="s">
        <v>1</v>
      </c>
      <c r="B3" s="2"/>
      <c r="C3" s="3">
        <v>2503</v>
      </c>
      <c r="E3" s="2" t="s">
        <v>2</v>
      </c>
      <c r="F3" s="2"/>
      <c r="G3" s="2"/>
      <c r="H3" s="13">
        <f>SUM(D13:D142)</f>
        <v>854.7</v>
      </c>
      <c r="I3" s="13"/>
    </row>
    <row r="4" spans="1:9">
      <c r="A4" s="2" t="s">
        <v>3</v>
      </c>
      <c r="B4" s="2"/>
      <c r="C4" s="4">
        <v>179</v>
      </c>
      <c r="E4" s="2" t="s">
        <v>4</v>
      </c>
      <c r="F4" s="2"/>
      <c r="G4" s="2"/>
      <c r="H4" s="7">
        <f>SUM(E13:E142)</f>
        <v>152991.3</v>
      </c>
      <c r="I4" s="7"/>
    </row>
    <row r="5" spans="1:9">
      <c r="A5" s="2" t="s">
        <v>5</v>
      </c>
      <c r="B5" s="2"/>
      <c r="C5" s="5">
        <v>0.05</v>
      </c>
      <c r="E5" s="2" t="s">
        <v>6</v>
      </c>
      <c r="F5" s="2"/>
      <c r="G5" s="2"/>
      <c r="H5" s="13">
        <f>C3+SUM(D13:D142)</f>
        <v>3357.7</v>
      </c>
      <c r="I5" s="13"/>
    </row>
    <row r="6" spans="1:9">
      <c r="A6" s="2" t="s">
        <v>7</v>
      </c>
      <c r="B6" s="2"/>
      <c r="C6" s="6">
        <v>46296</v>
      </c>
      <c r="E6" s="2" t="s">
        <v>8</v>
      </c>
      <c r="F6" s="2"/>
      <c r="G6" s="2"/>
      <c r="H6" s="7">
        <f>H5*C4</f>
        <v>601028.3</v>
      </c>
      <c r="I6" s="7"/>
    </row>
    <row r="7" spans="1:9">
      <c r="A7" s="2" t="s">
        <v>9</v>
      </c>
      <c r="B7" s="2"/>
      <c r="C7" s="7">
        <f>C3*C4</f>
        <v>448037</v>
      </c>
      <c r="E7" s="2" t="s">
        <v>10</v>
      </c>
      <c r="F7" s="2"/>
      <c r="G7" s="2"/>
      <c r="H7" s="14" t="str">
        <f>COUNTIF(I13:I142,"✔")&amp;" dari "&amp;COUNT(D13:D142)&amp;" hari terisi"</f>
        <v>3 dari 3 hari terisi</v>
      </c>
      <c r="I7" s="14"/>
    </row>
    <row r="8" spans="5:9">
      <c r="E8" s="2" t="s">
        <v>11</v>
      </c>
      <c r="F8" s="2"/>
      <c r="G8" s="2"/>
      <c r="H8" s="15">
        <f>IF(COUNT(D13:D142)=0,0,H5-INDEX(K13:K142,COUNT(D13:D142)))</f>
        <v>460.164625</v>
      </c>
      <c r="I8" s="15"/>
    </row>
    <row r="10" spans="1:13">
      <c r="A10" s="8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>
      <c r="A11" s="8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33.75" customHeight="1" spans="1:13">
      <c r="A12" s="9" t="s">
        <v>14</v>
      </c>
      <c r="B12" s="9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 t="s">
        <v>25</v>
      </c>
      <c r="M12" s="9" t="s">
        <v>26</v>
      </c>
    </row>
    <row r="13" spans="1:13">
      <c r="A13" s="10">
        <v>1</v>
      </c>
      <c r="B13" s="11">
        <f>C6</f>
        <v>46296</v>
      </c>
      <c r="C13" s="10" t="str">
        <f t="shared" ref="C13:C76" si="0">CHOOSE(WEEKDAY(B13,2),"Senin","Selasa","Rabu","Kamis","Jumat","Sabtu","Minggu")</f>
        <v>Kamis</v>
      </c>
      <c r="D13" s="12">
        <v>140.7</v>
      </c>
      <c r="E13" s="16">
        <f>IF(D13="","",D13*$C$4)</f>
        <v>25185.3</v>
      </c>
      <c r="F13" s="17">
        <f>IF(D13="","",$C$3+SUM(D$13:D13))</f>
        <v>2643.7</v>
      </c>
      <c r="G13" s="16">
        <f>IF(D13="","",F13*$C$4)</f>
        <v>473222.3</v>
      </c>
      <c r="H13" s="18">
        <f t="shared" ref="H13:H76" si="1">IF(D13="","",D13/(F13-D13))</f>
        <v>0.0562125449460647</v>
      </c>
      <c r="I13" s="10" t="str">
        <f>IF(D13="","",IF(H13&gt;=$C$5,"✔","✘"))</f>
        <v>✔</v>
      </c>
      <c r="J13" s="17">
        <f>$C$3*$C$5</f>
        <v>125.15</v>
      </c>
      <c r="K13" s="17">
        <f>$C$3+J13</f>
        <v>2628.15</v>
      </c>
      <c r="L13" s="16">
        <f>K13*$C$4</f>
        <v>470438.85</v>
      </c>
      <c r="M13" s="19" t="s">
        <v>27</v>
      </c>
    </row>
    <row r="14" spans="1:13">
      <c r="A14" s="10">
        <v>2</v>
      </c>
      <c r="B14" s="11">
        <f t="shared" ref="B14:B77" si="2">WORKDAY(B13,1)</f>
        <v>46297</v>
      </c>
      <c r="C14" s="10" t="str">
        <f t="shared" si="0"/>
        <v>Jumat</v>
      </c>
      <c r="D14" s="12">
        <v>422</v>
      </c>
      <c r="E14" s="16">
        <f>IF(D14="","",D14*$C$4)</f>
        <v>75538</v>
      </c>
      <c r="F14" s="17">
        <f>IF(D14="","",$C$3+SUM(D$13:D14))</f>
        <v>3065.7</v>
      </c>
      <c r="G14" s="16">
        <f>IF(D14="","",F14*$C$4)</f>
        <v>548760.3</v>
      </c>
      <c r="H14" s="18">
        <f t="shared" si="1"/>
        <v>0.159624768317131</v>
      </c>
      <c r="I14" s="10" t="str">
        <f>IF(D14="","",IF(H14&gt;=$C$5,"✔","✘"))</f>
        <v>✔</v>
      </c>
      <c r="J14" s="17">
        <f>K13*$C$5</f>
        <v>131.4075</v>
      </c>
      <c r="K14" s="17">
        <f t="shared" ref="K14:K77" si="3">K13+J14</f>
        <v>2759.5575</v>
      </c>
      <c r="L14" s="16">
        <f>K14*$C$4</f>
        <v>493960.7925</v>
      </c>
      <c r="M14" s="19" t="s">
        <v>28</v>
      </c>
    </row>
    <row r="15" spans="1:13">
      <c r="A15" s="10">
        <v>3</v>
      </c>
      <c r="B15" s="11">
        <f t="shared" si="2"/>
        <v>46300</v>
      </c>
      <c r="C15" s="10" t="str">
        <f t="shared" si="0"/>
        <v>Senin</v>
      </c>
      <c r="D15" s="12">
        <v>292</v>
      </c>
      <c r="E15" s="16">
        <f>IF(D15="","",D15*$C$4)</f>
        <v>52268</v>
      </c>
      <c r="F15" s="17">
        <f>IF(D15="","",$C$3+SUM(D$13:D15))</f>
        <v>3357.7</v>
      </c>
      <c r="G15" s="16">
        <f>IF(D15="","",F15*$C$4)</f>
        <v>601028.3</v>
      </c>
      <c r="H15" s="18">
        <f t="shared" si="1"/>
        <v>0.0952474149460156</v>
      </c>
      <c r="I15" s="10" t="str">
        <f>IF(D15="","",IF(H15&gt;=$C$5,"✔","✘"))</f>
        <v>✔</v>
      </c>
      <c r="J15" s="17">
        <f>K14*$C$5</f>
        <v>137.977875</v>
      </c>
      <c r="K15" s="17">
        <f t="shared" si="3"/>
        <v>2897.535375</v>
      </c>
      <c r="L15" s="16">
        <f>K15*$C$4</f>
        <v>518658.832125</v>
      </c>
      <c r="M15" s="19"/>
    </row>
    <row r="16" spans="1:13">
      <c r="A16" s="10">
        <v>4</v>
      </c>
      <c r="B16" s="11">
        <f t="shared" si="2"/>
        <v>46301</v>
      </c>
      <c r="C16" s="10" t="str">
        <f t="shared" si="0"/>
        <v>Selasa</v>
      </c>
      <c r="D16" s="12"/>
      <c r="E16" s="16" t="str">
        <f>IF(D16="","",D16*$C$4)</f>
        <v/>
      </c>
      <c r="F16" s="17" t="str">
        <f>IF(D16="","",$C$3+SUM(D$13:D16))</f>
        <v/>
      </c>
      <c r="G16" s="16" t="str">
        <f>IF(D16="","",F16*$C$4)</f>
        <v/>
      </c>
      <c r="H16" s="18" t="str">
        <f t="shared" si="1"/>
        <v/>
      </c>
      <c r="I16" s="10" t="str">
        <f>IF(D16="","",IF(H16&gt;=$C$5,"✔","✘"))</f>
        <v/>
      </c>
      <c r="J16" s="17">
        <f>K15*$C$5</f>
        <v>144.87676875</v>
      </c>
      <c r="K16" s="17">
        <f t="shared" si="3"/>
        <v>3042.41214375</v>
      </c>
      <c r="L16" s="16">
        <f>K16*$C$4</f>
        <v>544591.77373125</v>
      </c>
      <c r="M16" s="19"/>
    </row>
    <row r="17" spans="1:13">
      <c r="A17" s="10">
        <v>5</v>
      </c>
      <c r="B17" s="11">
        <f t="shared" si="2"/>
        <v>46302</v>
      </c>
      <c r="C17" s="10" t="str">
        <f t="shared" si="0"/>
        <v>Rabu</v>
      </c>
      <c r="D17" s="12"/>
      <c r="E17" s="16" t="str">
        <f>IF(D17="","",D17*$C$4)</f>
        <v/>
      </c>
      <c r="F17" s="17" t="str">
        <f>IF(D17="","",$C$3+SUM(D$13:D17))</f>
        <v/>
      </c>
      <c r="G17" s="16" t="str">
        <f>IF(D17="","",F17*$C$4)</f>
        <v/>
      </c>
      <c r="H17" s="18" t="str">
        <f t="shared" si="1"/>
        <v/>
      </c>
      <c r="I17" s="10" t="str">
        <f>IF(D17="","",IF(H17&gt;=$C$5,"✔","✘"))</f>
        <v/>
      </c>
      <c r="J17" s="17">
        <f>K16*$C$5</f>
        <v>152.1206071875</v>
      </c>
      <c r="K17" s="17">
        <f t="shared" si="3"/>
        <v>3194.5327509375</v>
      </c>
      <c r="L17" s="16">
        <f>K17*$C$4</f>
        <v>571821.362417812</v>
      </c>
      <c r="M17" s="19"/>
    </row>
    <row r="18" spans="1:13">
      <c r="A18" s="10">
        <v>6</v>
      </c>
      <c r="B18" s="11">
        <f t="shared" si="2"/>
        <v>46303</v>
      </c>
      <c r="C18" s="10" t="str">
        <f t="shared" si="0"/>
        <v>Kamis</v>
      </c>
      <c r="D18" s="12"/>
      <c r="E18" s="16" t="str">
        <f>IF(D18="","",D18*$C$4)</f>
        <v/>
      </c>
      <c r="F18" s="17" t="str">
        <f>IF(D18="","",$C$3+SUM(D$13:D18))</f>
        <v/>
      </c>
      <c r="G18" s="16" t="str">
        <f>IF(D18="","",F18*$C$4)</f>
        <v/>
      </c>
      <c r="H18" s="18" t="str">
        <f t="shared" si="1"/>
        <v/>
      </c>
      <c r="I18" s="10" t="str">
        <f>IF(D18="","",IF(H18&gt;=$C$5,"✔","✘"))</f>
        <v/>
      </c>
      <c r="J18" s="17">
        <f>K17*$C$5</f>
        <v>159.726637546875</v>
      </c>
      <c r="K18" s="17">
        <f t="shared" si="3"/>
        <v>3354.25938848437</v>
      </c>
      <c r="L18" s="16">
        <f>K18*$C$4</f>
        <v>600412.430538703</v>
      </c>
      <c r="M18" s="19"/>
    </row>
    <row r="19" spans="1:13">
      <c r="A19" s="10">
        <v>7</v>
      </c>
      <c r="B19" s="11">
        <f t="shared" si="2"/>
        <v>46304</v>
      </c>
      <c r="C19" s="10" t="str">
        <f t="shared" si="0"/>
        <v>Jumat</v>
      </c>
      <c r="D19" s="12"/>
      <c r="E19" s="16" t="str">
        <f>IF(D19="","",D19*$C$4)</f>
        <v/>
      </c>
      <c r="F19" s="17" t="str">
        <f>IF(D19="","",$C$3+SUM(D$13:D19))</f>
        <v/>
      </c>
      <c r="G19" s="16" t="str">
        <f>IF(D19="","",F19*$C$4)</f>
        <v/>
      </c>
      <c r="H19" s="18" t="str">
        <f t="shared" si="1"/>
        <v/>
      </c>
      <c r="I19" s="10" t="str">
        <f>IF(D19="","",IF(H19&gt;=$C$5,"✔","✘"))</f>
        <v/>
      </c>
      <c r="J19" s="17">
        <f>K18*$C$5</f>
        <v>167.712969424219</v>
      </c>
      <c r="K19" s="17">
        <f t="shared" si="3"/>
        <v>3521.97235790859</v>
      </c>
      <c r="L19" s="16">
        <f>K19*$C$4</f>
        <v>630433.052065638</v>
      </c>
      <c r="M19" s="19"/>
    </row>
    <row r="20" spans="1:13">
      <c r="A20" s="10">
        <v>8</v>
      </c>
      <c r="B20" s="11">
        <f t="shared" si="2"/>
        <v>46307</v>
      </c>
      <c r="C20" s="10" t="str">
        <f t="shared" si="0"/>
        <v>Senin</v>
      </c>
      <c r="D20" s="12"/>
      <c r="E20" s="16" t="str">
        <f>IF(D20="","",D20*$C$4)</f>
        <v/>
      </c>
      <c r="F20" s="17" t="str">
        <f>IF(D20="","",$C$3+SUM(D$13:D20))</f>
        <v/>
      </c>
      <c r="G20" s="16" t="str">
        <f>IF(D20="","",F20*$C$4)</f>
        <v/>
      </c>
      <c r="H20" s="18" t="str">
        <f t="shared" si="1"/>
        <v/>
      </c>
      <c r="I20" s="10" t="str">
        <f>IF(D20="","",IF(H20&gt;=$C$5,"✔","✘"))</f>
        <v/>
      </c>
      <c r="J20" s="17">
        <f>K19*$C$5</f>
        <v>176.09861789543</v>
      </c>
      <c r="K20" s="17">
        <f t="shared" si="3"/>
        <v>3698.07097580402</v>
      </c>
      <c r="L20" s="16">
        <f>K20*$C$4</f>
        <v>661954.70466892</v>
      </c>
      <c r="M20" s="19"/>
    </row>
    <row r="21" spans="1:13">
      <c r="A21" s="10">
        <v>9</v>
      </c>
      <c r="B21" s="11">
        <f t="shared" si="2"/>
        <v>46308</v>
      </c>
      <c r="C21" s="10" t="str">
        <f t="shared" si="0"/>
        <v>Selasa</v>
      </c>
      <c r="D21" s="12"/>
      <c r="E21" s="16" t="str">
        <f>IF(D21="","",D21*$C$4)</f>
        <v/>
      </c>
      <c r="F21" s="17" t="str">
        <f>IF(D21="","",$C$3+SUM(D$13:D21))</f>
        <v/>
      </c>
      <c r="G21" s="16" t="str">
        <f>IF(D21="","",F21*$C$4)</f>
        <v/>
      </c>
      <c r="H21" s="18" t="str">
        <f t="shared" si="1"/>
        <v/>
      </c>
      <c r="I21" s="10" t="str">
        <f>IF(D21="","",IF(H21&gt;=$C$5,"✔","✘"))</f>
        <v/>
      </c>
      <c r="J21" s="17">
        <f>K20*$C$5</f>
        <v>184.903548790201</v>
      </c>
      <c r="K21" s="17">
        <f t="shared" si="3"/>
        <v>3882.97452459422</v>
      </c>
      <c r="L21" s="16">
        <f>K21*$C$4</f>
        <v>695052.439902366</v>
      </c>
      <c r="M21" s="19"/>
    </row>
    <row r="22" spans="1:13">
      <c r="A22" s="10">
        <v>10</v>
      </c>
      <c r="B22" s="11">
        <f t="shared" si="2"/>
        <v>46309</v>
      </c>
      <c r="C22" s="10" t="str">
        <f t="shared" si="0"/>
        <v>Rabu</v>
      </c>
      <c r="D22" s="12"/>
      <c r="E22" s="16" t="str">
        <f>IF(D22="","",D22*$C$4)</f>
        <v/>
      </c>
      <c r="F22" s="17" t="str">
        <f>IF(D22="","",$C$3+SUM(D$13:D22))</f>
        <v/>
      </c>
      <c r="G22" s="16" t="str">
        <f>IF(D22="","",F22*$C$4)</f>
        <v/>
      </c>
      <c r="H22" s="18" t="str">
        <f t="shared" si="1"/>
        <v/>
      </c>
      <c r="I22" s="10" t="str">
        <f>IF(D22="","",IF(H22&gt;=$C$5,"✔","✘"))</f>
        <v/>
      </c>
      <c r="J22" s="17">
        <f>K21*$C$5</f>
        <v>194.148726229711</v>
      </c>
      <c r="K22" s="17">
        <f t="shared" si="3"/>
        <v>4077.12325082393</v>
      </c>
      <c r="L22" s="16">
        <f>K22*$C$4</f>
        <v>729805.061897484</v>
      </c>
      <c r="M22" s="19"/>
    </row>
    <row r="23" spans="1:13">
      <c r="A23" s="10">
        <v>11</v>
      </c>
      <c r="B23" s="11">
        <f t="shared" si="2"/>
        <v>46310</v>
      </c>
      <c r="C23" s="10" t="str">
        <f t="shared" si="0"/>
        <v>Kamis</v>
      </c>
      <c r="D23" s="12"/>
      <c r="E23" s="16" t="str">
        <f>IF(D23="","",D23*$C$4)</f>
        <v/>
      </c>
      <c r="F23" s="17" t="str">
        <f>IF(D23="","",$C$3+SUM(D$13:D23))</f>
        <v/>
      </c>
      <c r="G23" s="16" t="str">
        <f>IF(D23="","",F23*$C$4)</f>
        <v/>
      </c>
      <c r="H23" s="18" t="str">
        <f t="shared" si="1"/>
        <v/>
      </c>
      <c r="I23" s="10" t="str">
        <f>IF(D23="","",IF(H23&gt;=$C$5,"✔","✘"))</f>
        <v/>
      </c>
      <c r="J23" s="17">
        <f>K22*$C$5</f>
        <v>203.856162541197</v>
      </c>
      <c r="K23" s="17">
        <f t="shared" si="3"/>
        <v>4280.97941336513</v>
      </c>
      <c r="L23" s="16">
        <f>K23*$C$4</f>
        <v>766295.314992358</v>
      </c>
      <c r="M23" s="19"/>
    </row>
    <row r="24" spans="1:13">
      <c r="A24" s="10">
        <v>12</v>
      </c>
      <c r="B24" s="11">
        <f t="shared" si="2"/>
        <v>46311</v>
      </c>
      <c r="C24" s="10" t="str">
        <f t="shared" si="0"/>
        <v>Jumat</v>
      </c>
      <c r="D24" s="12"/>
      <c r="E24" s="16" t="str">
        <f>IF(D24="","",D24*$C$4)</f>
        <v/>
      </c>
      <c r="F24" s="17" t="str">
        <f>IF(D24="","",$C$3+SUM(D$13:D24))</f>
        <v/>
      </c>
      <c r="G24" s="16" t="str">
        <f>IF(D24="","",F24*$C$4)</f>
        <v/>
      </c>
      <c r="H24" s="18" t="str">
        <f t="shared" si="1"/>
        <v/>
      </c>
      <c r="I24" s="10" t="str">
        <f>IF(D24="","",IF(H24&gt;=$C$5,"✔","✘"))</f>
        <v/>
      </c>
      <c r="J24" s="17">
        <f>K23*$C$5</f>
        <v>214.048970668257</v>
      </c>
      <c r="K24" s="17">
        <f t="shared" si="3"/>
        <v>4495.02838403339</v>
      </c>
      <c r="L24" s="16">
        <f>K24*$C$4</f>
        <v>804610.080741976</v>
      </c>
      <c r="M24" s="19"/>
    </row>
    <row r="25" spans="1:13">
      <c r="A25" s="10">
        <v>13</v>
      </c>
      <c r="B25" s="11">
        <f t="shared" si="2"/>
        <v>46314</v>
      </c>
      <c r="C25" s="10" t="str">
        <f t="shared" si="0"/>
        <v>Senin</v>
      </c>
      <c r="D25" s="12"/>
      <c r="E25" s="16" t="str">
        <f>IF(D25="","",D25*$C$4)</f>
        <v/>
      </c>
      <c r="F25" s="17" t="str">
        <f>IF(D25="","",$C$3+SUM(D$13:D25))</f>
        <v/>
      </c>
      <c r="G25" s="16" t="str">
        <f>IF(D25="","",F25*$C$4)</f>
        <v/>
      </c>
      <c r="H25" s="18" t="str">
        <f t="shared" si="1"/>
        <v/>
      </c>
      <c r="I25" s="10" t="str">
        <f>IF(D25="","",IF(H25&gt;=$C$5,"✔","✘"))</f>
        <v/>
      </c>
      <c r="J25" s="17">
        <f>K24*$C$5</f>
        <v>224.751419201669</v>
      </c>
      <c r="K25" s="17">
        <f t="shared" si="3"/>
        <v>4719.77980323506</v>
      </c>
      <c r="L25" s="16">
        <f>K25*$C$4</f>
        <v>844840.584779075</v>
      </c>
      <c r="M25" s="19"/>
    </row>
    <row r="26" spans="1:13">
      <c r="A26" s="10">
        <v>14</v>
      </c>
      <c r="B26" s="11">
        <f t="shared" si="2"/>
        <v>46315</v>
      </c>
      <c r="C26" s="10" t="str">
        <f t="shared" si="0"/>
        <v>Selasa</v>
      </c>
      <c r="D26" s="12"/>
      <c r="E26" s="16" t="str">
        <f>IF(D26="","",D26*$C$4)</f>
        <v/>
      </c>
      <c r="F26" s="17" t="str">
        <f>IF(D26="","",$C$3+SUM(D$13:D26))</f>
        <v/>
      </c>
      <c r="G26" s="16" t="str">
        <f>IF(D26="","",F26*$C$4)</f>
        <v/>
      </c>
      <c r="H26" s="18" t="str">
        <f t="shared" si="1"/>
        <v/>
      </c>
      <c r="I26" s="10" t="str">
        <f>IF(D26="","",IF(H26&gt;=$C$5,"✔","✘"))</f>
        <v/>
      </c>
      <c r="J26" s="17">
        <f>K25*$C$5</f>
        <v>235.988990161753</v>
      </c>
      <c r="K26" s="17">
        <f t="shared" si="3"/>
        <v>4955.76879339681</v>
      </c>
      <c r="L26" s="16">
        <f>K26*$C$4</f>
        <v>887082.614018029</v>
      </c>
      <c r="M26" s="19"/>
    </row>
    <row r="27" spans="1:13">
      <c r="A27" s="10">
        <v>15</v>
      </c>
      <c r="B27" s="11">
        <f t="shared" si="2"/>
        <v>46316</v>
      </c>
      <c r="C27" s="10" t="str">
        <f t="shared" si="0"/>
        <v>Rabu</v>
      </c>
      <c r="D27" s="12"/>
      <c r="E27" s="16" t="str">
        <f>IF(D27="","",D27*$C$4)</f>
        <v/>
      </c>
      <c r="F27" s="17" t="str">
        <f>IF(D27="","",$C$3+SUM(D$13:D27))</f>
        <v/>
      </c>
      <c r="G27" s="16" t="str">
        <f>IF(D27="","",F27*$C$4)</f>
        <v/>
      </c>
      <c r="H27" s="18" t="str">
        <f t="shared" si="1"/>
        <v/>
      </c>
      <c r="I27" s="10" t="str">
        <f>IF(D27="","",IF(H27&gt;=$C$5,"✔","✘"))</f>
        <v/>
      </c>
      <c r="J27" s="17">
        <f>K26*$C$5</f>
        <v>247.78843966984</v>
      </c>
      <c r="K27" s="17">
        <f t="shared" si="3"/>
        <v>5203.55723306665</v>
      </c>
      <c r="L27" s="16">
        <f>K27*$C$4</f>
        <v>931436.744718931</v>
      </c>
      <c r="M27" s="19"/>
    </row>
    <row r="28" spans="1:13">
      <c r="A28" s="10">
        <v>16</v>
      </c>
      <c r="B28" s="11">
        <f t="shared" si="2"/>
        <v>46317</v>
      </c>
      <c r="C28" s="10" t="str">
        <f t="shared" si="0"/>
        <v>Kamis</v>
      </c>
      <c r="D28" s="12"/>
      <c r="E28" s="16" t="str">
        <f>IF(D28="","",D28*$C$4)</f>
        <v/>
      </c>
      <c r="F28" s="17" t="str">
        <f>IF(D28="","",$C$3+SUM(D$13:D28))</f>
        <v/>
      </c>
      <c r="G28" s="16" t="str">
        <f>IF(D28="","",F28*$C$4)</f>
        <v/>
      </c>
      <c r="H28" s="18" t="str">
        <f t="shared" si="1"/>
        <v/>
      </c>
      <c r="I28" s="10" t="str">
        <f>IF(D28="","",IF(H28&gt;=$C$5,"✔","✘"))</f>
        <v/>
      </c>
      <c r="J28" s="17">
        <f>K27*$C$5</f>
        <v>260.177861653333</v>
      </c>
      <c r="K28" s="17">
        <f t="shared" si="3"/>
        <v>5463.73509471998</v>
      </c>
      <c r="L28" s="16">
        <f>K28*$C$4</f>
        <v>978008.581954877</v>
      </c>
      <c r="M28" s="19"/>
    </row>
    <row r="29" spans="1:13">
      <c r="A29" s="10">
        <v>17</v>
      </c>
      <c r="B29" s="11">
        <f t="shared" si="2"/>
        <v>46318</v>
      </c>
      <c r="C29" s="10" t="str">
        <f t="shared" si="0"/>
        <v>Jumat</v>
      </c>
      <c r="D29" s="12"/>
      <c r="E29" s="16" t="str">
        <f>IF(D29="","",D29*$C$4)</f>
        <v/>
      </c>
      <c r="F29" s="17" t="str">
        <f>IF(D29="","",$C$3+SUM(D$13:D29))</f>
        <v/>
      </c>
      <c r="G29" s="16" t="str">
        <f>IF(D29="","",F29*$C$4)</f>
        <v/>
      </c>
      <c r="H29" s="18" t="str">
        <f t="shared" si="1"/>
        <v/>
      </c>
      <c r="I29" s="10" t="str">
        <f>IF(D29="","",IF(H29&gt;=$C$5,"✔","✘"))</f>
        <v/>
      </c>
      <c r="J29" s="17">
        <f>K28*$C$5</f>
        <v>273.186754735999</v>
      </c>
      <c r="K29" s="17">
        <f t="shared" si="3"/>
        <v>5736.92184945598</v>
      </c>
      <c r="L29" s="16">
        <f>K29*$C$4</f>
        <v>1026909.01105262</v>
      </c>
      <c r="M29" s="19"/>
    </row>
    <row r="30" spans="1:13">
      <c r="A30" s="10">
        <v>18</v>
      </c>
      <c r="B30" s="11">
        <f t="shared" si="2"/>
        <v>46321</v>
      </c>
      <c r="C30" s="10" t="str">
        <f t="shared" si="0"/>
        <v>Senin</v>
      </c>
      <c r="D30" s="12"/>
      <c r="E30" s="16" t="str">
        <f>IF(D30="","",D30*$C$4)</f>
        <v/>
      </c>
      <c r="F30" s="17" t="str">
        <f>IF(D30="","",$C$3+SUM(D$13:D30))</f>
        <v/>
      </c>
      <c r="G30" s="16" t="str">
        <f>IF(D30="","",F30*$C$4)</f>
        <v/>
      </c>
      <c r="H30" s="18" t="str">
        <f t="shared" si="1"/>
        <v/>
      </c>
      <c r="I30" s="10" t="str">
        <f>IF(D30="","",IF(H30&gt;=$C$5,"✔","✘"))</f>
        <v/>
      </c>
      <c r="J30" s="17">
        <f>K29*$C$5</f>
        <v>286.846092472799</v>
      </c>
      <c r="K30" s="17">
        <f t="shared" si="3"/>
        <v>6023.76794192878</v>
      </c>
      <c r="L30" s="16">
        <f>K30*$C$4</f>
        <v>1078254.46160525</v>
      </c>
      <c r="M30" s="19"/>
    </row>
    <row r="31" spans="1:13">
      <c r="A31" s="10">
        <v>19</v>
      </c>
      <c r="B31" s="11">
        <f t="shared" si="2"/>
        <v>46322</v>
      </c>
      <c r="C31" s="10" t="str">
        <f t="shared" si="0"/>
        <v>Selasa</v>
      </c>
      <c r="D31" s="12"/>
      <c r="E31" s="16" t="str">
        <f>IF(D31="","",D31*$C$4)</f>
        <v/>
      </c>
      <c r="F31" s="17" t="str">
        <f>IF(D31="","",$C$3+SUM(D$13:D31))</f>
        <v/>
      </c>
      <c r="G31" s="16" t="str">
        <f>IF(D31="","",F31*$C$4)</f>
        <v/>
      </c>
      <c r="H31" s="18" t="str">
        <f t="shared" si="1"/>
        <v/>
      </c>
      <c r="I31" s="10" t="str">
        <f>IF(D31="","",IF(H31&gt;=$C$5,"✔","✘"))</f>
        <v/>
      </c>
      <c r="J31" s="17">
        <f>K30*$C$5</f>
        <v>301.188397096439</v>
      </c>
      <c r="K31" s="17">
        <f t="shared" si="3"/>
        <v>6324.95633902522</v>
      </c>
      <c r="L31" s="16">
        <f>K31*$C$4</f>
        <v>1132167.18468551</v>
      </c>
      <c r="M31" s="19"/>
    </row>
    <row r="32" spans="1:13">
      <c r="A32" s="10">
        <v>20</v>
      </c>
      <c r="B32" s="11">
        <f t="shared" si="2"/>
        <v>46323</v>
      </c>
      <c r="C32" s="10" t="str">
        <f t="shared" si="0"/>
        <v>Rabu</v>
      </c>
      <c r="D32" s="12"/>
      <c r="E32" s="16" t="str">
        <f>IF(D32="","",D32*$C$4)</f>
        <v/>
      </c>
      <c r="F32" s="17" t="str">
        <f>IF(D32="","",$C$3+SUM(D$13:D32))</f>
        <v/>
      </c>
      <c r="G32" s="16" t="str">
        <f>IF(D32="","",F32*$C$4)</f>
        <v/>
      </c>
      <c r="H32" s="18" t="str">
        <f t="shared" si="1"/>
        <v/>
      </c>
      <c r="I32" s="10" t="str">
        <f>IF(D32="","",IF(H32&gt;=$C$5,"✔","✘"))</f>
        <v/>
      </c>
      <c r="J32" s="17">
        <f>K31*$C$5</f>
        <v>316.247816951261</v>
      </c>
      <c r="K32" s="17">
        <f t="shared" si="3"/>
        <v>6641.20415597648</v>
      </c>
      <c r="L32" s="16">
        <f>K32*$C$4</f>
        <v>1188775.54391979</v>
      </c>
      <c r="M32" s="19"/>
    </row>
    <row r="33" spans="1:13">
      <c r="A33" s="10">
        <v>21</v>
      </c>
      <c r="B33" s="11">
        <f t="shared" si="2"/>
        <v>46324</v>
      </c>
      <c r="C33" s="10" t="str">
        <f t="shared" si="0"/>
        <v>Kamis</v>
      </c>
      <c r="D33" s="12"/>
      <c r="E33" s="16" t="str">
        <f>IF(D33="","",D33*$C$4)</f>
        <v/>
      </c>
      <c r="F33" s="17" t="str">
        <f>IF(D33="","",$C$3+SUM(D$13:D33))</f>
        <v/>
      </c>
      <c r="G33" s="16" t="str">
        <f>IF(D33="","",F33*$C$4)</f>
        <v/>
      </c>
      <c r="H33" s="18" t="str">
        <f t="shared" si="1"/>
        <v/>
      </c>
      <c r="I33" s="10" t="str">
        <f>IF(D33="","",IF(H33&gt;=$C$5,"✔","✘"))</f>
        <v/>
      </c>
      <c r="J33" s="17">
        <f>K32*$C$5</f>
        <v>332.060207798824</v>
      </c>
      <c r="K33" s="17">
        <f t="shared" si="3"/>
        <v>6973.26436377531</v>
      </c>
      <c r="L33" s="16">
        <f>K33*$C$4</f>
        <v>1248214.32111578</v>
      </c>
      <c r="M33" s="19"/>
    </row>
    <row r="34" spans="1:13">
      <c r="A34" s="10">
        <v>22</v>
      </c>
      <c r="B34" s="11">
        <f t="shared" si="2"/>
        <v>46325</v>
      </c>
      <c r="C34" s="10" t="str">
        <f t="shared" si="0"/>
        <v>Jumat</v>
      </c>
      <c r="D34" s="12"/>
      <c r="E34" s="16" t="str">
        <f>IF(D34="","",D34*$C$4)</f>
        <v/>
      </c>
      <c r="F34" s="17" t="str">
        <f>IF(D34="","",$C$3+SUM(D$13:D34))</f>
        <v/>
      </c>
      <c r="G34" s="16" t="str">
        <f>IF(D34="","",F34*$C$4)</f>
        <v/>
      </c>
      <c r="H34" s="18" t="str">
        <f t="shared" si="1"/>
        <v/>
      </c>
      <c r="I34" s="10" t="str">
        <f>IF(D34="","",IF(H34&gt;=$C$5,"✔","✘"))</f>
        <v/>
      </c>
      <c r="J34" s="17">
        <f>K33*$C$5</f>
        <v>348.663218188765</v>
      </c>
      <c r="K34" s="17">
        <f t="shared" si="3"/>
        <v>7321.92758196407</v>
      </c>
      <c r="L34" s="16">
        <f>K34*$C$4</f>
        <v>1310625.03717157</v>
      </c>
      <c r="M34" s="19"/>
    </row>
    <row r="35" spans="1:13">
      <c r="A35" s="10">
        <v>23</v>
      </c>
      <c r="B35" s="11">
        <f t="shared" si="2"/>
        <v>46328</v>
      </c>
      <c r="C35" s="10" t="str">
        <f t="shared" si="0"/>
        <v>Senin</v>
      </c>
      <c r="D35" s="12"/>
      <c r="E35" s="16" t="str">
        <f>IF(D35="","",D35*$C$4)</f>
        <v/>
      </c>
      <c r="F35" s="17" t="str">
        <f>IF(D35="","",$C$3+SUM(D$13:D35))</f>
        <v/>
      </c>
      <c r="G35" s="16" t="str">
        <f>IF(D35="","",F35*$C$4)</f>
        <v/>
      </c>
      <c r="H35" s="18" t="str">
        <f t="shared" si="1"/>
        <v/>
      </c>
      <c r="I35" s="10" t="str">
        <f>IF(D35="","",IF(H35&gt;=$C$5,"✔","✘"))</f>
        <v/>
      </c>
      <c r="J35" s="17">
        <f>K34*$C$5</f>
        <v>366.096379098204</v>
      </c>
      <c r="K35" s="17">
        <f t="shared" si="3"/>
        <v>7688.02396106227</v>
      </c>
      <c r="L35" s="16">
        <f>K35*$C$4</f>
        <v>1376156.28903015</v>
      </c>
      <c r="M35" s="19"/>
    </row>
    <row r="36" spans="1:13">
      <c r="A36" s="10">
        <v>24</v>
      </c>
      <c r="B36" s="11">
        <f t="shared" si="2"/>
        <v>46329</v>
      </c>
      <c r="C36" s="10" t="str">
        <f t="shared" si="0"/>
        <v>Selasa</v>
      </c>
      <c r="D36" s="12"/>
      <c r="E36" s="16" t="str">
        <f>IF(D36="","",D36*$C$4)</f>
        <v/>
      </c>
      <c r="F36" s="17" t="str">
        <f>IF(D36="","",$C$3+SUM(D$13:D36))</f>
        <v/>
      </c>
      <c r="G36" s="16" t="str">
        <f>IF(D36="","",F36*$C$4)</f>
        <v/>
      </c>
      <c r="H36" s="18" t="str">
        <f t="shared" si="1"/>
        <v/>
      </c>
      <c r="I36" s="10" t="str">
        <f>IF(D36="","",IF(H36&gt;=$C$5,"✔","✘"))</f>
        <v/>
      </c>
      <c r="J36" s="17">
        <f>K35*$C$5</f>
        <v>384.401198053114</v>
      </c>
      <c r="K36" s="17">
        <f t="shared" si="3"/>
        <v>8072.42515911539</v>
      </c>
      <c r="L36" s="16">
        <f>K36*$C$4</f>
        <v>1444964.10348165</v>
      </c>
      <c r="M36" s="19"/>
    </row>
    <row r="37" spans="1:13">
      <c r="A37" s="10">
        <v>25</v>
      </c>
      <c r="B37" s="11">
        <f t="shared" si="2"/>
        <v>46330</v>
      </c>
      <c r="C37" s="10" t="str">
        <f t="shared" si="0"/>
        <v>Rabu</v>
      </c>
      <c r="D37" s="12"/>
      <c r="E37" s="16" t="str">
        <f>IF(D37="","",D37*$C$4)</f>
        <v/>
      </c>
      <c r="F37" s="17" t="str">
        <f>IF(D37="","",$C$3+SUM(D$13:D37))</f>
        <v/>
      </c>
      <c r="G37" s="16" t="str">
        <f>IF(D37="","",F37*$C$4)</f>
        <v/>
      </c>
      <c r="H37" s="18" t="str">
        <f t="shared" si="1"/>
        <v/>
      </c>
      <c r="I37" s="10" t="str">
        <f>IF(D37="","",IF(H37&gt;=$C$5,"✔","✘"))</f>
        <v/>
      </c>
      <c r="J37" s="17">
        <f>K36*$C$5</f>
        <v>403.621257955769</v>
      </c>
      <c r="K37" s="17">
        <f t="shared" si="3"/>
        <v>8476.04641707116</v>
      </c>
      <c r="L37" s="16">
        <f>K37*$C$4</f>
        <v>1517212.30865574</v>
      </c>
      <c r="M37" s="19"/>
    </row>
    <row r="38" spans="1:13">
      <c r="A38" s="10">
        <v>26</v>
      </c>
      <c r="B38" s="11">
        <f t="shared" si="2"/>
        <v>46331</v>
      </c>
      <c r="C38" s="10" t="str">
        <f t="shared" si="0"/>
        <v>Kamis</v>
      </c>
      <c r="D38" s="12"/>
      <c r="E38" s="16" t="str">
        <f>IF(D38="","",D38*$C$4)</f>
        <v/>
      </c>
      <c r="F38" s="17" t="str">
        <f>IF(D38="","",$C$3+SUM(D$13:D38))</f>
        <v/>
      </c>
      <c r="G38" s="16" t="str">
        <f>IF(D38="","",F38*$C$4)</f>
        <v/>
      </c>
      <c r="H38" s="18" t="str">
        <f t="shared" si="1"/>
        <v/>
      </c>
      <c r="I38" s="10" t="str">
        <f>IF(D38="","",IF(H38&gt;=$C$5,"✔","✘"))</f>
        <v/>
      </c>
      <c r="J38" s="17">
        <f>K37*$C$5</f>
        <v>423.802320853558</v>
      </c>
      <c r="K38" s="17">
        <f t="shared" si="3"/>
        <v>8899.84873792472</v>
      </c>
      <c r="L38" s="16">
        <f>K38*$C$4</f>
        <v>1593072.92408852</v>
      </c>
      <c r="M38" s="19"/>
    </row>
    <row r="39" spans="1:13">
      <c r="A39" s="10">
        <v>27</v>
      </c>
      <c r="B39" s="11">
        <f t="shared" si="2"/>
        <v>46332</v>
      </c>
      <c r="C39" s="10" t="str">
        <f t="shared" si="0"/>
        <v>Jumat</v>
      </c>
      <c r="D39" s="12"/>
      <c r="E39" s="16" t="str">
        <f>IF(D39="","",D39*$C$4)</f>
        <v/>
      </c>
      <c r="F39" s="17" t="str">
        <f>IF(D39="","",$C$3+SUM(D$13:D39))</f>
        <v/>
      </c>
      <c r="G39" s="16" t="str">
        <f>IF(D39="","",F39*$C$4)</f>
        <v/>
      </c>
      <c r="H39" s="18" t="str">
        <f t="shared" si="1"/>
        <v/>
      </c>
      <c r="I39" s="10" t="str">
        <f>IF(D39="","",IF(H39&gt;=$C$5,"✔","✘"))</f>
        <v/>
      </c>
      <c r="J39" s="17">
        <f>K38*$C$5</f>
        <v>444.992436896236</v>
      </c>
      <c r="K39" s="17">
        <f t="shared" si="3"/>
        <v>9344.84117482095</v>
      </c>
      <c r="L39" s="16">
        <f>K39*$C$4</f>
        <v>1672726.57029295</v>
      </c>
      <c r="M39" s="19"/>
    </row>
    <row r="40" spans="1:13">
      <c r="A40" s="10">
        <v>28</v>
      </c>
      <c r="B40" s="11">
        <f t="shared" si="2"/>
        <v>46335</v>
      </c>
      <c r="C40" s="10" t="str">
        <f t="shared" si="0"/>
        <v>Senin</v>
      </c>
      <c r="D40" s="12"/>
      <c r="E40" s="16" t="str">
        <f>IF(D40="","",D40*$C$4)</f>
        <v/>
      </c>
      <c r="F40" s="17" t="str">
        <f>IF(D40="","",$C$3+SUM(D$13:D40))</f>
        <v/>
      </c>
      <c r="G40" s="16" t="str">
        <f>IF(D40="","",F40*$C$4)</f>
        <v/>
      </c>
      <c r="H40" s="18" t="str">
        <f t="shared" si="1"/>
        <v/>
      </c>
      <c r="I40" s="10" t="str">
        <f>IF(D40="","",IF(H40&gt;=$C$5,"✔","✘"))</f>
        <v/>
      </c>
      <c r="J40" s="17">
        <f>K39*$C$5</f>
        <v>467.242058741048</v>
      </c>
      <c r="K40" s="17">
        <f t="shared" si="3"/>
        <v>9812.083233562</v>
      </c>
      <c r="L40" s="16">
        <f>K40*$C$4</f>
        <v>1756362.8988076</v>
      </c>
      <c r="M40" s="19"/>
    </row>
    <row r="41" spans="1:13">
      <c r="A41" s="10">
        <v>29</v>
      </c>
      <c r="B41" s="11">
        <f t="shared" si="2"/>
        <v>46336</v>
      </c>
      <c r="C41" s="10" t="str">
        <f t="shared" si="0"/>
        <v>Selasa</v>
      </c>
      <c r="D41" s="12"/>
      <c r="E41" s="16" t="str">
        <f>IF(D41="","",D41*$C$4)</f>
        <v/>
      </c>
      <c r="F41" s="17" t="str">
        <f>IF(D41="","",$C$3+SUM(D$13:D41))</f>
        <v/>
      </c>
      <c r="G41" s="16" t="str">
        <f>IF(D41="","",F41*$C$4)</f>
        <v/>
      </c>
      <c r="H41" s="18" t="str">
        <f t="shared" si="1"/>
        <v/>
      </c>
      <c r="I41" s="10" t="str">
        <f>IF(D41="","",IF(H41&gt;=$C$5,"✔","✘"))</f>
        <v/>
      </c>
      <c r="J41" s="17">
        <f>K40*$C$5</f>
        <v>490.6041616781</v>
      </c>
      <c r="K41" s="17">
        <f t="shared" si="3"/>
        <v>10302.6873952401</v>
      </c>
      <c r="L41" s="16">
        <f>K41*$C$4</f>
        <v>1844181.04374798</v>
      </c>
      <c r="M41" s="19"/>
    </row>
    <row r="42" spans="1:13">
      <c r="A42" s="10">
        <v>30</v>
      </c>
      <c r="B42" s="11">
        <f t="shared" si="2"/>
        <v>46337</v>
      </c>
      <c r="C42" s="10" t="str">
        <f t="shared" si="0"/>
        <v>Rabu</v>
      </c>
      <c r="D42" s="12"/>
      <c r="E42" s="16" t="str">
        <f>IF(D42="","",D42*$C$4)</f>
        <v/>
      </c>
      <c r="F42" s="17" t="str">
        <f>IF(D42="","",$C$3+SUM(D$13:D42))</f>
        <v/>
      </c>
      <c r="G42" s="16" t="str">
        <f>IF(D42="","",F42*$C$4)</f>
        <v/>
      </c>
      <c r="H42" s="18" t="str">
        <f t="shared" si="1"/>
        <v/>
      </c>
      <c r="I42" s="10" t="str">
        <f>IF(D42="","",IF(H42&gt;=$C$5,"✔","✘"))</f>
        <v/>
      </c>
      <c r="J42" s="17">
        <f>K41*$C$5</f>
        <v>515.134369762005</v>
      </c>
      <c r="K42" s="17">
        <f t="shared" si="3"/>
        <v>10817.8217650021</v>
      </c>
      <c r="L42" s="16">
        <f>K42*$C$4</f>
        <v>1936390.09593538</v>
      </c>
      <c r="M42" s="19"/>
    </row>
    <row r="43" spans="1:13">
      <c r="A43" s="10">
        <v>31</v>
      </c>
      <c r="B43" s="11">
        <f t="shared" si="2"/>
        <v>46338</v>
      </c>
      <c r="C43" s="10" t="str">
        <f t="shared" si="0"/>
        <v>Kamis</v>
      </c>
      <c r="D43" s="12"/>
      <c r="E43" s="16" t="str">
        <f>IF(D43="","",D43*$C$4)</f>
        <v/>
      </c>
      <c r="F43" s="17" t="str">
        <f>IF(D43="","",$C$3+SUM(D$13:D43))</f>
        <v/>
      </c>
      <c r="G43" s="16" t="str">
        <f>IF(D43="","",F43*$C$4)</f>
        <v/>
      </c>
      <c r="H43" s="18" t="str">
        <f t="shared" si="1"/>
        <v/>
      </c>
      <c r="I43" s="10" t="str">
        <f>IF(D43="","",IF(H43&gt;=$C$5,"✔","✘"))</f>
        <v/>
      </c>
      <c r="J43" s="17">
        <f>K42*$C$5</f>
        <v>540.891088250105</v>
      </c>
      <c r="K43" s="17">
        <f t="shared" si="3"/>
        <v>11358.7128532522</v>
      </c>
      <c r="L43" s="16">
        <f>K43*$C$4</f>
        <v>2033209.60073215</v>
      </c>
      <c r="M43" s="19"/>
    </row>
    <row r="44" spans="1:13">
      <c r="A44" s="10">
        <v>32</v>
      </c>
      <c r="B44" s="11">
        <f t="shared" si="2"/>
        <v>46339</v>
      </c>
      <c r="C44" s="10" t="str">
        <f t="shared" si="0"/>
        <v>Jumat</v>
      </c>
      <c r="D44" s="12"/>
      <c r="E44" s="16" t="str">
        <f>IF(D44="","",D44*$C$4)</f>
        <v/>
      </c>
      <c r="F44" s="17" t="str">
        <f>IF(D44="","",$C$3+SUM(D$13:D44))</f>
        <v/>
      </c>
      <c r="G44" s="16" t="str">
        <f>IF(D44="","",F44*$C$4)</f>
        <v/>
      </c>
      <c r="H44" s="18" t="str">
        <f t="shared" si="1"/>
        <v/>
      </c>
      <c r="I44" s="10" t="str">
        <f>IF(D44="","",IF(H44&gt;=$C$5,"✔","✘"))</f>
        <v/>
      </c>
      <c r="J44" s="17">
        <f>K43*$C$5</f>
        <v>567.935642662611</v>
      </c>
      <c r="K44" s="17">
        <f t="shared" si="3"/>
        <v>11926.6484959148</v>
      </c>
      <c r="L44" s="16">
        <f>K44*$C$4</f>
        <v>2134870.08076875</v>
      </c>
      <c r="M44" s="19"/>
    </row>
    <row r="45" spans="1:13">
      <c r="A45" s="10">
        <v>33</v>
      </c>
      <c r="B45" s="11">
        <f t="shared" si="2"/>
        <v>46342</v>
      </c>
      <c r="C45" s="10" t="str">
        <f t="shared" si="0"/>
        <v>Senin</v>
      </c>
      <c r="D45" s="12"/>
      <c r="E45" s="16" t="str">
        <f>IF(D45="","",D45*$C$4)</f>
        <v/>
      </c>
      <c r="F45" s="17" t="str">
        <f>IF(D45="","",$C$3+SUM(D$13:D45))</f>
        <v/>
      </c>
      <c r="G45" s="16" t="str">
        <f>IF(D45="","",F45*$C$4)</f>
        <v/>
      </c>
      <c r="H45" s="18" t="str">
        <f t="shared" si="1"/>
        <v/>
      </c>
      <c r="I45" s="10" t="str">
        <f>IF(D45="","",IF(H45&gt;=$C$5,"✔","✘"))</f>
        <v/>
      </c>
      <c r="J45" s="17">
        <f>K44*$C$5</f>
        <v>596.332424795741</v>
      </c>
      <c r="K45" s="17">
        <f t="shared" si="3"/>
        <v>12522.9809207106</v>
      </c>
      <c r="L45" s="16">
        <f>K45*$C$4</f>
        <v>2241613.58480719</v>
      </c>
      <c r="M45" s="19"/>
    </row>
    <row r="46" spans="1:13">
      <c r="A46" s="10">
        <v>34</v>
      </c>
      <c r="B46" s="11">
        <f t="shared" si="2"/>
        <v>46343</v>
      </c>
      <c r="C46" s="10" t="str">
        <f t="shared" si="0"/>
        <v>Selasa</v>
      </c>
      <c r="D46" s="12"/>
      <c r="E46" s="16" t="str">
        <f>IF(D46="","",D46*$C$4)</f>
        <v/>
      </c>
      <c r="F46" s="17" t="str">
        <f>IF(D46="","",$C$3+SUM(D$13:D46))</f>
        <v/>
      </c>
      <c r="G46" s="16" t="str">
        <f>IF(D46="","",F46*$C$4)</f>
        <v/>
      </c>
      <c r="H46" s="18" t="str">
        <f t="shared" si="1"/>
        <v/>
      </c>
      <c r="I46" s="10" t="str">
        <f>IF(D46="","",IF(H46&gt;=$C$5,"✔","✘"))</f>
        <v/>
      </c>
      <c r="J46" s="17">
        <f>K45*$C$5</f>
        <v>626.149046035528</v>
      </c>
      <c r="K46" s="17">
        <f t="shared" si="3"/>
        <v>13149.1299667461</v>
      </c>
      <c r="L46" s="16">
        <f>K46*$C$4</f>
        <v>2353694.26404755</v>
      </c>
      <c r="M46" s="19"/>
    </row>
    <row r="47" spans="1:13">
      <c r="A47" s="10">
        <v>35</v>
      </c>
      <c r="B47" s="11">
        <f t="shared" si="2"/>
        <v>46344</v>
      </c>
      <c r="C47" s="10" t="str">
        <f t="shared" si="0"/>
        <v>Rabu</v>
      </c>
      <c r="D47" s="12"/>
      <c r="E47" s="16" t="str">
        <f>IF(D47="","",D47*$C$4)</f>
        <v/>
      </c>
      <c r="F47" s="17" t="str">
        <f>IF(D47="","",$C$3+SUM(D$13:D47))</f>
        <v/>
      </c>
      <c r="G47" s="16" t="str">
        <f>IF(D47="","",F47*$C$4)</f>
        <v/>
      </c>
      <c r="H47" s="18" t="str">
        <f t="shared" si="1"/>
        <v/>
      </c>
      <c r="I47" s="10" t="str">
        <f>IF(D47="","",IF(H47&gt;=$C$5,"✔","✘"))</f>
        <v/>
      </c>
      <c r="J47" s="17">
        <f>K46*$C$5</f>
        <v>657.456498337305</v>
      </c>
      <c r="K47" s="17">
        <f t="shared" si="3"/>
        <v>13806.5864650834</v>
      </c>
      <c r="L47" s="16">
        <f>K47*$C$4</f>
        <v>2471378.97724993</v>
      </c>
      <c r="M47" s="19"/>
    </row>
    <row r="48" spans="1:13">
      <c r="A48" s="10">
        <v>36</v>
      </c>
      <c r="B48" s="11">
        <f t="shared" si="2"/>
        <v>46345</v>
      </c>
      <c r="C48" s="10" t="str">
        <f t="shared" si="0"/>
        <v>Kamis</v>
      </c>
      <c r="D48" s="12"/>
      <c r="E48" s="16" t="str">
        <f>IF(D48="","",D48*$C$4)</f>
        <v/>
      </c>
      <c r="F48" s="17" t="str">
        <f>IF(D48="","",$C$3+SUM(D$13:D48))</f>
        <v/>
      </c>
      <c r="G48" s="16" t="str">
        <f>IF(D48="","",F48*$C$4)</f>
        <v/>
      </c>
      <c r="H48" s="18" t="str">
        <f t="shared" si="1"/>
        <v/>
      </c>
      <c r="I48" s="10" t="str">
        <f>IF(D48="","",IF(H48&gt;=$C$5,"✔","✘"))</f>
        <v/>
      </c>
      <c r="J48" s="17">
        <f>K47*$C$5</f>
        <v>690.32932325417</v>
      </c>
      <c r="K48" s="17">
        <f t="shared" si="3"/>
        <v>14496.9157883376</v>
      </c>
      <c r="L48" s="16">
        <f>K48*$C$4</f>
        <v>2594947.92611242</v>
      </c>
      <c r="M48" s="19"/>
    </row>
    <row r="49" spans="1:13">
      <c r="A49" s="10">
        <v>37</v>
      </c>
      <c r="B49" s="11">
        <f t="shared" si="2"/>
        <v>46346</v>
      </c>
      <c r="C49" s="10" t="str">
        <f t="shared" si="0"/>
        <v>Jumat</v>
      </c>
      <c r="D49" s="12"/>
      <c r="E49" s="16" t="str">
        <f>IF(D49="","",D49*$C$4)</f>
        <v/>
      </c>
      <c r="F49" s="17" t="str">
        <f>IF(D49="","",$C$3+SUM(D$13:D49))</f>
        <v/>
      </c>
      <c r="G49" s="16" t="str">
        <f>IF(D49="","",F49*$C$4)</f>
        <v/>
      </c>
      <c r="H49" s="18" t="str">
        <f t="shared" si="1"/>
        <v/>
      </c>
      <c r="I49" s="10" t="str">
        <f>IF(D49="","",IF(H49&gt;=$C$5,"✔","✘"))</f>
        <v/>
      </c>
      <c r="J49" s="17">
        <f>K48*$C$5</f>
        <v>724.845789416878</v>
      </c>
      <c r="K49" s="17">
        <f t="shared" si="3"/>
        <v>15221.7615777544</v>
      </c>
      <c r="L49" s="16">
        <f>K49*$C$4</f>
        <v>2724695.32241805</v>
      </c>
      <c r="M49" s="19"/>
    </row>
    <row r="50" spans="1:13">
      <c r="A50" s="10">
        <v>38</v>
      </c>
      <c r="B50" s="11">
        <f t="shared" si="2"/>
        <v>46349</v>
      </c>
      <c r="C50" s="10" t="str">
        <f t="shared" si="0"/>
        <v>Senin</v>
      </c>
      <c r="D50" s="12"/>
      <c r="E50" s="16" t="str">
        <f>IF(D50="","",D50*$C$4)</f>
        <v/>
      </c>
      <c r="F50" s="17" t="str">
        <f>IF(D50="","",$C$3+SUM(D$13:D50))</f>
        <v/>
      </c>
      <c r="G50" s="16" t="str">
        <f>IF(D50="","",F50*$C$4)</f>
        <v/>
      </c>
      <c r="H50" s="18" t="str">
        <f t="shared" si="1"/>
        <v/>
      </c>
      <c r="I50" s="10" t="str">
        <f>IF(D50="","",IF(H50&gt;=$C$5,"✔","✘"))</f>
        <v/>
      </c>
      <c r="J50" s="17">
        <f>K49*$C$5</f>
        <v>761.088078887722</v>
      </c>
      <c r="K50" s="17">
        <f t="shared" si="3"/>
        <v>15982.8496566422</v>
      </c>
      <c r="L50" s="16">
        <f>K50*$C$4</f>
        <v>2860930.08853895</v>
      </c>
      <c r="M50" s="19"/>
    </row>
    <row r="51" spans="1:13">
      <c r="A51" s="10">
        <v>39</v>
      </c>
      <c r="B51" s="11">
        <f t="shared" si="2"/>
        <v>46350</v>
      </c>
      <c r="C51" s="10" t="str">
        <f t="shared" si="0"/>
        <v>Selasa</v>
      </c>
      <c r="D51" s="12"/>
      <c r="E51" s="16" t="str">
        <f>IF(D51="","",D51*$C$4)</f>
        <v/>
      </c>
      <c r="F51" s="17" t="str">
        <f>IF(D51="","",$C$3+SUM(D$13:D51))</f>
        <v/>
      </c>
      <c r="G51" s="16" t="str">
        <f>IF(D51="","",F51*$C$4)</f>
        <v/>
      </c>
      <c r="H51" s="18" t="str">
        <f t="shared" si="1"/>
        <v/>
      </c>
      <c r="I51" s="10" t="str">
        <f>IF(D51="","",IF(H51&gt;=$C$5,"✔","✘"))</f>
        <v/>
      </c>
      <c r="J51" s="17">
        <f>K50*$C$5</f>
        <v>799.142482832108</v>
      </c>
      <c r="K51" s="17">
        <f t="shared" si="3"/>
        <v>16781.9921394743</v>
      </c>
      <c r="L51" s="16">
        <f>K51*$C$4</f>
        <v>3003976.59296589</v>
      </c>
      <c r="M51" s="19"/>
    </row>
    <row r="52" spans="1:13">
      <c r="A52" s="10">
        <v>40</v>
      </c>
      <c r="B52" s="11">
        <f t="shared" si="2"/>
        <v>46351</v>
      </c>
      <c r="C52" s="10" t="str">
        <f t="shared" si="0"/>
        <v>Rabu</v>
      </c>
      <c r="D52" s="12"/>
      <c r="E52" s="16" t="str">
        <f>IF(D52="","",D52*$C$4)</f>
        <v/>
      </c>
      <c r="F52" s="17" t="str">
        <f>IF(D52="","",$C$3+SUM(D$13:D52))</f>
        <v/>
      </c>
      <c r="G52" s="16" t="str">
        <f>IF(D52="","",F52*$C$4)</f>
        <v/>
      </c>
      <c r="H52" s="18" t="str">
        <f t="shared" si="1"/>
        <v/>
      </c>
      <c r="I52" s="10" t="str">
        <f>IF(D52="","",IF(H52&gt;=$C$5,"✔","✘"))</f>
        <v/>
      </c>
      <c r="J52" s="17">
        <f>K51*$C$5</f>
        <v>839.099606973714</v>
      </c>
      <c r="K52" s="17">
        <f t="shared" si="3"/>
        <v>17621.091746448</v>
      </c>
      <c r="L52" s="16">
        <f>K52*$C$4</f>
        <v>3154175.42261419</v>
      </c>
      <c r="M52" s="19"/>
    </row>
    <row r="53" spans="1:13">
      <c r="A53" s="10">
        <v>41</v>
      </c>
      <c r="B53" s="11">
        <f t="shared" si="2"/>
        <v>46352</v>
      </c>
      <c r="C53" s="10" t="str">
        <f t="shared" si="0"/>
        <v>Kamis</v>
      </c>
      <c r="D53" s="12"/>
      <c r="E53" s="16" t="str">
        <f>IF(D53="","",D53*$C$4)</f>
        <v/>
      </c>
      <c r="F53" s="17" t="str">
        <f>IF(D53="","",$C$3+SUM(D$13:D53))</f>
        <v/>
      </c>
      <c r="G53" s="16" t="str">
        <f>IF(D53="","",F53*$C$4)</f>
        <v/>
      </c>
      <c r="H53" s="18" t="str">
        <f t="shared" si="1"/>
        <v/>
      </c>
      <c r="I53" s="10" t="str">
        <f>IF(D53="","",IF(H53&gt;=$C$5,"✔","✘"))</f>
        <v/>
      </c>
      <c r="J53" s="17">
        <f>K52*$C$5</f>
        <v>881.054587322399</v>
      </c>
      <c r="K53" s="17">
        <f t="shared" si="3"/>
        <v>18502.1463337704</v>
      </c>
      <c r="L53" s="16">
        <f>K53*$C$4</f>
        <v>3311884.1937449</v>
      </c>
      <c r="M53" s="19"/>
    </row>
    <row r="54" spans="1:13">
      <c r="A54" s="10">
        <v>42</v>
      </c>
      <c r="B54" s="11">
        <f t="shared" si="2"/>
        <v>46353</v>
      </c>
      <c r="C54" s="10" t="str">
        <f t="shared" si="0"/>
        <v>Jumat</v>
      </c>
      <c r="D54" s="12"/>
      <c r="E54" s="16" t="str">
        <f>IF(D54="","",D54*$C$4)</f>
        <v/>
      </c>
      <c r="F54" s="17" t="str">
        <f>IF(D54="","",$C$3+SUM(D$13:D54))</f>
        <v/>
      </c>
      <c r="G54" s="16" t="str">
        <f>IF(D54="","",F54*$C$4)</f>
        <v/>
      </c>
      <c r="H54" s="18" t="str">
        <f t="shared" si="1"/>
        <v/>
      </c>
      <c r="I54" s="10" t="str">
        <f>IF(D54="","",IF(H54&gt;=$C$5,"✔","✘"))</f>
        <v/>
      </c>
      <c r="J54" s="17">
        <f>K53*$C$5</f>
        <v>925.107316688519</v>
      </c>
      <c r="K54" s="17">
        <f t="shared" si="3"/>
        <v>19427.2536504589</v>
      </c>
      <c r="L54" s="16">
        <f>K54*$C$4</f>
        <v>3477478.40343214</v>
      </c>
      <c r="M54" s="19"/>
    </row>
    <row r="55" spans="1:13">
      <c r="A55" s="10">
        <v>43</v>
      </c>
      <c r="B55" s="11">
        <f t="shared" si="2"/>
        <v>46356</v>
      </c>
      <c r="C55" s="10" t="str">
        <f t="shared" si="0"/>
        <v>Senin</v>
      </c>
      <c r="D55" s="12"/>
      <c r="E55" s="16" t="str">
        <f>IF(D55="","",D55*$C$4)</f>
        <v/>
      </c>
      <c r="F55" s="17" t="str">
        <f>IF(D55="","",$C$3+SUM(D$13:D55))</f>
        <v/>
      </c>
      <c r="G55" s="16" t="str">
        <f>IF(D55="","",F55*$C$4)</f>
        <v/>
      </c>
      <c r="H55" s="18" t="str">
        <f t="shared" si="1"/>
        <v/>
      </c>
      <c r="I55" s="10" t="str">
        <f>IF(D55="","",IF(H55&gt;=$C$5,"✔","✘"))</f>
        <v/>
      </c>
      <c r="J55" s="17">
        <f>K54*$C$5</f>
        <v>971.362682522945</v>
      </c>
      <c r="K55" s="17">
        <f t="shared" si="3"/>
        <v>20398.6163329818</v>
      </c>
      <c r="L55" s="16">
        <f>K55*$C$4</f>
        <v>3651352.32360375</v>
      </c>
      <c r="M55" s="19"/>
    </row>
    <row r="56" spans="1:13">
      <c r="A56" s="10">
        <v>44</v>
      </c>
      <c r="B56" s="11">
        <f t="shared" si="2"/>
        <v>46357</v>
      </c>
      <c r="C56" s="10" t="str">
        <f t="shared" si="0"/>
        <v>Selasa</v>
      </c>
      <c r="D56" s="12"/>
      <c r="E56" s="16" t="str">
        <f>IF(D56="","",D56*$C$4)</f>
        <v/>
      </c>
      <c r="F56" s="17" t="str">
        <f>IF(D56="","",$C$3+SUM(D$13:D56))</f>
        <v/>
      </c>
      <c r="G56" s="16" t="str">
        <f>IF(D56="","",F56*$C$4)</f>
        <v/>
      </c>
      <c r="H56" s="18" t="str">
        <f t="shared" si="1"/>
        <v/>
      </c>
      <c r="I56" s="10" t="str">
        <f>IF(D56="","",IF(H56&gt;=$C$5,"✔","✘"))</f>
        <v/>
      </c>
      <c r="J56" s="17">
        <f>K55*$C$5</f>
        <v>1019.93081664909</v>
      </c>
      <c r="K56" s="17">
        <f t="shared" si="3"/>
        <v>21418.5471496309</v>
      </c>
      <c r="L56" s="16">
        <f>K56*$C$4</f>
        <v>3833919.93978394</v>
      </c>
      <c r="M56" s="19"/>
    </row>
    <row r="57" spans="1:13">
      <c r="A57" s="10">
        <v>45</v>
      </c>
      <c r="B57" s="11">
        <f t="shared" si="2"/>
        <v>46358</v>
      </c>
      <c r="C57" s="10" t="str">
        <f t="shared" si="0"/>
        <v>Rabu</v>
      </c>
      <c r="D57" s="12"/>
      <c r="E57" s="16" t="str">
        <f>IF(D57="","",D57*$C$4)</f>
        <v/>
      </c>
      <c r="F57" s="17" t="str">
        <f>IF(D57="","",$C$3+SUM(D$13:D57))</f>
        <v/>
      </c>
      <c r="G57" s="16" t="str">
        <f>IF(D57="","",F57*$C$4)</f>
        <v/>
      </c>
      <c r="H57" s="18" t="str">
        <f t="shared" si="1"/>
        <v/>
      </c>
      <c r="I57" s="10" t="str">
        <f>IF(D57="","",IF(H57&gt;=$C$5,"✔","✘"))</f>
        <v/>
      </c>
      <c r="J57" s="17">
        <f>K56*$C$5</f>
        <v>1070.92735748155</v>
      </c>
      <c r="K57" s="17">
        <f t="shared" si="3"/>
        <v>22489.4745071125</v>
      </c>
      <c r="L57" s="16">
        <f>K57*$C$4</f>
        <v>4025615.93677313</v>
      </c>
      <c r="M57" s="19"/>
    </row>
    <row r="58" spans="1:13">
      <c r="A58" s="10">
        <v>46</v>
      </c>
      <c r="B58" s="11">
        <f t="shared" si="2"/>
        <v>46359</v>
      </c>
      <c r="C58" s="10" t="str">
        <f t="shared" si="0"/>
        <v>Kamis</v>
      </c>
      <c r="D58" s="12"/>
      <c r="E58" s="16" t="str">
        <f>IF(D58="","",D58*$C$4)</f>
        <v/>
      </c>
      <c r="F58" s="17" t="str">
        <f>IF(D58="","",$C$3+SUM(D$13:D58))</f>
        <v/>
      </c>
      <c r="G58" s="16" t="str">
        <f>IF(D58="","",F58*$C$4)</f>
        <v/>
      </c>
      <c r="H58" s="18" t="str">
        <f t="shared" si="1"/>
        <v/>
      </c>
      <c r="I58" s="10" t="str">
        <f>IF(D58="","",IF(H58&gt;=$C$5,"✔","✘"))</f>
        <v/>
      </c>
      <c r="J58" s="17">
        <f>K57*$C$5</f>
        <v>1124.47372535562</v>
      </c>
      <c r="K58" s="17">
        <f t="shared" si="3"/>
        <v>23613.9482324681</v>
      </c>
      <c r="L58" s="16">
        <f>K58*$C$4</f>
        <v>4226896.73361179</v>
      </c>
      <c r="M58" s="19"/>
    </row>
    <row r="59" spans="1:13">
      <c r="A59" s="10">
        <v>47</v>
      </c>
      <c r="B59" s="11">
        <f t="shared" si="2"/>
        <v>46360</v>
      </c>
      <c r="C59" s="10" t="str">
        <f t="shared" si="0"/>
        <v>Jumat</v>
      </c>
      <c r="D59" s="12"/>
      <c r="E59" s="16" t="str">
        <f>IF(D59="","",D59*$C$4)</f>
        <v/>
      </c>
      <c r="F59" s="17" t="str">
        <f>IF(D59="","",$C$3+SUM(D$13:D59))</f>
        <v/>
      </c>
      <c r="G59" s="16" t="str">
        <f>IF(D59="","",F59*$C$4)</f>
        <v/>
      </c>
      <c r="H59" s="18" t="str">
        <f t="shared" si="1"/>
        <v/>
      </c>
      <c r="I59" s="10" t="str">
        <f>IF(D59="","",IF(H59&gt;=$C$5,"✔","✘"))</f>
        <v/>
      </c>
      <c r="J59" s="17">
        <f>K58*$C$5</f>
        <v>1180.69741162341</v>
      </c>
      <c r="K59" s="17">
        <f t="shared" si="3"/>
        <v>24794.6456440915</v>
      </c>
      <c r="L59" s="16">
        <f>K59*$C$4</f>
        <v>4438241.57029238</v>
      </c>
      <c r="M59" s="19"/>
    </row>
    <row r="60" spans="1:13">
      <c r="A60" s="10">
        <v>48</v>
      </c>
      <c r="B60" s="11">
        <f t="shared" si="2"/>
        <v>46363</v>
      </c>
      <c r="C60" s="10" t="str">
        <f t="shared" si="0"/>
        <v>Senin</v>
      </c>
      <c r="D60" s="12"/>
      <c r="E60" s="16" t="str">
        <f>IF(D60="","",D60*$C$4)</f>
        <v/>
      </c>
      <c r="F60" s="17" t="str">
        <f>IF(D60="","",$C$3+SUM(D$13:D60))</f>
        <v/>
      </c>
      <c r="G60" s="16" t="str">
        <f>IF(D60="","",F60*$C$4)</f>
        <v/>
      </c>
      <c r="H60" s="18" t="str">
        <f t="shared" si="1"/>
        <v/>
      </c>
      <c r="I60" s="10" t="str">
        <f>IF(D60="","",IF(H60&gt;=$C$5,"✔","✘"))</f>
        <v/>
      </c>
      <c r="J60" s="17">
        <f>K59*$C$5</f>
        <v>1239.73228220458</v>
      </c>
      <c r="K60" s="17">
        <f t="shared" si="3"/>
        <v>26034.3779262961</v>
      </c>
      <c r="L60" s="16">
        <f>K60*$C$4</f>
        <v>4660153.648807</v>
      </c>
      <c r="M60" s="19"/>
    </row>
    <row r="61" spans="1:13">
      <c r="A61" s="10">
        <v>49</v>
      </c>
      <c r="B61" s="11">
        <f t="shared" si="2"/>
        <v>46364</v>
      </c>
      <c r="C61" s="10" t="str">
        <f t="shared" si="0"/>
        <v>Selasa</v>
      </c>
      <c r="D61" s="12"/>
      <c r="E61" s="16" t="str">
        <f>IF(D61="","",D61*$C$4)</f>
        <v/>
      </c>
      <c r="F61" s="17" t="str">
        <f>IF(D61="","",$C$3+SUM(D$13:D61))</f>
        <v/>
      </c>
      <c r="G61" s="16" t="str">
        <f>IF(D61="","",F61*$C$4)</f>
        <v/>
      </c>
      <c r="H61" s="18" t="str">
        <f t="shared" si="1"/>
        <v/>
      </c>
      <c r="I61" s="10" t="str">
        <f>IF(D61="","",IF(H61&gt;=$C$5,"✔","✘"))</f>
        <v/>
      </c>
      <c r="J61" s="17">
        <f>K60*$C$5</f>
        <v>1301.7188963148</v>
      </c>
      <c r="K61" s="17">
        <f t="shared" si="3"/>
        <v>27336.0968226109</v>
      </c>
      <c r="L61" s="16">
        <f>K61*$C$4</f>
        <v>4893161.33124735</v>
      </c>
      <c r="M61" s="19"/>
    </row>
    <row r="62" spans="1:13">
      <c r="A62" s="10">
        <v>50</v>
      </c>
      <c r="B62" s="11">
        <f t="shared" si="2"/>
        <v>46365</v>
      </c>
      <c r="C62" s="10" t="str">
        <f t="shared" si="0"/>
        <v>Rabu</v>
      </c>
      <c r="D62" s="12"/>
      <c r="E62" s="16" t="str">
        <f>IF(D62="","",D62*$C$4)</f>
        <v/>
      </c>
      <c r="F62" s="17" t="str">
        <f>IF(D62="","",$C$3+SUM(D$13:D62))</f>
        <v/>
      </c>
      <c r="G62" s="16" t="str">
        <f>IF(D62="","",F62*$C$4)</f>
        <v/>
      </c>
      <c r="H62" s="18" t="str">
        <f t="shared" si="1"/>
        <v/>
      </c>
      <c r="I62" s="10" t="str">
        <f>IF(D62="","",IF(H62&gt;=$C$5,"✔","✘"))</f>
        <v/>
      </c>
      <c r="J62" s="17">
        <f>K61*$C$5</f>
        <v>1366.80484113054</v>
      </c>
      <c r="K62" s="17">
        <f t="shared" si="3"/>
        <v>28702.9016637414</v>
      </c>
      <c r="L62" s="16">
        <f>K62*$C$4</f>
        <v>5137819.39780972</v>
      </c>
      <c r="M62" s="19"/>
    </row>
    <row r="63" spans="1:13">
      <c r="A63" s="10">
        <v>51</v>
      </c>
      <c r="B63" s="11">
        <f t="shared" si="2"/>
        <v>46366</v>
      </c>
      <c r="C63" s="10" t="str">
        <f t="shared" si="0"/>
        <v>Kamis</v>
      </c>
      <c r="D63" s="12"/>
      <c r="E63" s="16" t="str">
        <f>IF(D63="","",D63*$C$4)</f>
        <v/>
      </c>
      <c r="F63" s="17" t="str">
        <f>IF(D63="","",$C$3+SUM(D$13:D63))</f>
        <v/>
      </c>
      <c r="G63" s="16" t="str">
        <f>IF(D63="","",F63*$C$4)</f>
        <v/>
      </c>
      <c r="H63" s="18" t="str">
        <f t="shared" si="1"/>
        <v/>
      </c>
      <c r="I63" s="10" t="str">
        <f>IF(D63="","",IF(H63&gt;=$C$5,"✔","✘"))</f>
        <v/>
      </c>
      <c r="J63" s="17">
        <f>K62*$C$5</f>
        <v>1435.14508318707</v>
      </c>
      <c r="K63" s="17">
        <f t="shared" si="3"/>
        <v>30138.0467469285</v>
      </c>
      <c r="L63" s="16">
        <f>K63*$C$4</f>
        <v>5394710.3677002</v>
      </c>
      <c r="M63" s="19"/>
    </row>
    <row r="64" spans="1:13">
      <c r="A64" s="10">
        <v>52</v>
      </c>
      <c r="B64" s="11">
        <f t="shared" si="2"/>
        <v>46367</v>
      </c>
      <c r="C64" s="10" t="str">
        <f t="shared" si="0"/>
        <v>Jumat</v>
      </c>
      <c r="D64" s="12"/>
      <c r="E64" s="16" t="str">
        <f>IF(D64="","",D64*$C$4)</f>
        <v/>
      </c>
      <c r="F64" s="17" t="str">
        <f>IF(D64="","",$C$3+SUM(D$13:D64))</f>
        <v/>
      </c>
      <c r="G64" s="16" t="str">
        <f>IF(D64="","",F64*$C$4)</f>
        <v/>
      </c>
      <c r="H64" s="18" t="str">
        <f t="shared" si="1"/>
        <v/>
      </c>
      <c r="I64" s="10" t="str">
        <f>IF(D64="","",IF(H64&gt;=$C$5,"✔","✘"))</f>
        <v/>
      </c>
      <c r="J64" s="17">
        <f>K63*$C$5</f>
        <v>1506.90233734643</v>
      </c>
      <c r="K64" s="17">
        <f t="shared" si="3"/>
        <v>31644.9490842749</v>
      </c>
      <c r="L64" s="16">
        <f>K64*$C$4</f>
        <v>5664445.88608521</v>
      </c>
      <c r="M64" s="19"/>
    </row>
    <row r="65" spans="1:13">
      <c r="A65" s="10">
        <v>53</v>
      </c>
      <c r="B65" s="11">
        <f t="shared" si="2"/>
        <v>46370</v>
      </c>
      <c r="C65" s="10" t="str">
        <f t="shared" si="0"/>
        <v>Senin</v>
      </c>
      <c r="D65" s="12"/>
      <c r="E65" s="16" t="str">
        <f>IF(D65="","",D65*$C$4)</f>
        <v/>
      </c>
      <c r="F65" s="17" t="str">
        <f>IF(D65="","",$C$3+SUM(D$13:D65))</f>
        <v/>
      </c>
      <c r="G65" s="16" t="str">
        <f>IF(D65="","",F65*$C$4)</f>
        <v/>
      </c>
      <c r="H65" s="18" t="str">
        <f t="shared" si="1"/>
        <v/>
      </c>
      <c r="I65" s="10" t="str">
        <f>IF(D65="","",IF(H65&gt;=$C$5,"✔","✘"))</f>
        <v/>
      </c>
      <c r="J65" s="17">
        <f>K64*$C$5</f>
        <v>1582.24745421375</v>
      </c>
      <c r="K65" s="17">
        <f t="shared" si="3"/>
        <v>33227.1965384887</v>
      </c>
      <c r="L65" s="16">
        <f>K65*$C$4</f>
        <v>5947668.18038948</v>
      </c>
      <c r="M65" s="19"/>
    </row>
    <row r="66" spans="1:13">
      <c r="A66" s="10">
        <v>54</v>
      </c>
      <c r="B66" s="11">
        <f t="shared" si="2"/>
        <v>46371</v>
      </c>
      <c r="C66" s="10" t="str">
        <f t="shared" si="0"/>
        <v>Selasa</v>
      </c>
      <c r="D66" s="12"/>
      <c r="E66" s="16" t="str">
        <f>IF(D66="","",D66*$C$4)</f>
        <v/>
      </c>
      <c r="F66" s="17" t="str">
        <f>IF(D66="","",$C$3+SUM(D$13:D66))</f>
        <v/>
      </c>
      <c r="G66" s="16" t="str">
        <f>IF(D66="","",F66*$C$4)</f>
        <v/>
      </c>
      <c r="H66" s="18" t="str">
        <f t="shared" si="1"/>
        <v/>
      </c>
      <c r="I66" s="10" t="str">
        <f>IF(D66="","",IF(H66&gt;=$C$5,"✔","✘"))</f>
        <v/>
      </c>
      <c r="J66" s="17">
        <f>K65*$C$5</f>
        <v>1661.35982692443</v>
      </c>
      <c r="K66" s="17">
        <f t="shared" si="3"/>
        <v>34888.5563654131</v>
      </c>
      <c r="L66" s="16">
        <f>K66*$C$4</f>
        <v>6245051.58940895</v>
      </c>
      <c r="M66" s="19"/>
    </row>
    <row r="67" spans="1:13">
      <c r="A67" s="10">
        <v>55</v>
      </c>
      <c r="B67" s="11">
        <f t="shared" si="2"/>
        <v>46372</v>
      </c>
      <c r="C67" s="10" t="str">
        <f t="shared" si="0"/>
        <v>Rabu</v>
      </c>
      <c r="D67" s="12"/>
      <c r="E67" s="16" t="str">
        <f>IF(D67="","",D67*$C$4)</f>
        <v/>
      </c>
      <c r="F67" s="17" t="str">
        <f>IF(D67="","",$C$3+SUM(D$13:D67))</f>
        <v/>
      </c>
      <c r="G67" s="16" t="str">
        <f>IF(D67="","",F67*$C$4)</f>
        <v/>
      </c>
      <c r="H67" s="18" t="str">
        <f t="shared" si="1"/>
        <v/>
      </c>
      <c r="I67" s="10" t="str">
        <f>IF(D67="","",IF(H67&gt;=$C$5,"✔","✘"))</f>
        <v/>
      </c>
      <c r="J67" s="17">
        <f>K66*$C$5</f>
        <v>1744.42781827066</v>
      </c>
      <c r="K67" s="17">
        <f t="shared" si="3"/>
        <v>36632.9841836838</v>
      </c>
      <c r="L67" s="16">
        <f>K67*$C$4</f>
        <v>6557304.1688794</v>
      </c>
      <c r="M67" s="19"/>
    </row>
    <row r="68" spans="1:13">
      <c r="A68" s="10">
        <v>56</v>
      </c>
      <c r="B68" s="11">
        <f t="shared" si="2"/>
        <v>46373</v>
      </c>
      <c r="C68" s="10" t="str">
        <f t="shared" si="0"/>
        <v>Kamis</v>
      </c>
      <c r="D68" s="12"/>
      <c r="E68" s="16" t="str">
        <f>IF(D68="","",D68*$C$4)</f>
        <v/>
      </c>
      <c r="F68" s="17" t="str">
        <f>IF(D68="","",$C$3+SUM(D$13:D68))</f>
        <v/>
      </c>
      <c r="G68" s="16" t="str">
        <f>IF(D68="","",F68*$C$4)</f>
        <v/>
      </c>
      <c r="H68" s="18" t="str">
        <f t="shared" si="1"/>
        <v/>
      </c>
      <c r="I68" s="10" t="str">
        <f>IF(D68="","",IF(H68&gt;=$C$5,"✔","✘"))</f>
        <v/>
      </c>
      <c r="J68" s="17">
        <f>K67*$C$5</f>
        <v>1831.64920918419</v>
      </c>
      <c r="K68" s="17">
        <f t="shared" si="3"/>
        <v>38464.633392868</v>
      </c>
      <c r="L68" s="16">
        <f>K68*$C$4</f>
        <v>6885169.37732336</v>
      </c>
      <c r="M68" s="19"/>
    </row>
    <row r="69" spans="1:13">
      <c r="A69" s="10">
        <v>57</v>
      </c>
      <c r="B69" s="11">
        <f t="shared" si="2"/>
        <v>46374</v>
      </c>
      <c r="C69" s="10" t="str">
        <f t="shared" si="0"/>
        <v>Jumat</v>
      </c>
      <c r="D69" s="12"/>
      <c r="E69" s="16" t="str">
        <f>IF(D69="","",D69*$C$4)</f>
        <v/>
      </c>
      <c r="F69" s="17" t="str">
        <f>IF(D69="","",$C$3+SUM(D$13:D69))</f>
        <v/>
      </c>
      <c r="G69" s="16" t="str">
        <f>IF(D69="","",F69*$C$4)</f>
        <v/>
      </c>
      <c r="H69" s="18" t="str">
        <f t="shared" si="1"/>
        <v/>
      </c>
      <c r="I69" s="10" t="str">
        <f>IF(D69="","",IF(H69&gt;=$C$5,"✔","✘"))</f>
        <v/>
      </c>
      <c r="J69" s="17">
        <f>K68*$C$5</f>
        <v>1923.2316696434</v>
      </c>
      <c r="K69" s="17">
        <f t="shared" si="3"/>
        <v>40387.8650625114</v>
      </c>
      <c r="L69" s="16">
        <f>K69*$C$4</f>
        <v>7229427.84618953</v>
      </c>
      <c r="M69" s="19"/>
    </row>
    <row r="70" spans="1:13">
      <c r="A70" s="10">
        <v>58</v>
      </c>
      <c r="B70" s="11">
        <f t="shared" si="2"/>
        <v>46377</v>
      </c>
      <c r="C70" s="10" t="str">
        <f t="shared" si="0"/>
        <v>Senin</v>
      </c>
      <c r="D70" s="12"/>
      <c r="E70" s="16" t="str">
        <f>IF(D70="","",D70*$C$4)</f>
        <v/>
      </c>
      <c r="F70" s="17" t="str">
        <f>IF(D70="","",$C$3+SUM(D$13:D70))</f>
        <v/>
      </c>
      <c r="G70" s="16" t="str">
        <f>IF(D70="","",F70*$C$4)</f>
        <v/>
      </c>
      <c r="H70" s="18" t="str">
        <f t="shared" si="1"/>
        <v/>
      </c>
      <c r="I70" s="10" t="str">
        <f>IF(D70="","",IF(H70&gt;=$C$5,"✔","✘"))</f>
        <v/>
      </c>
      <c r="J70" s="17">
        <f>K69*$C$5</f>
        <v>2019.39325312557</v>
      </c>
      <c r="K70" s="17">
        <f t="shared" si="3"/>
        <v>42407.2583156369</v>
      </c>
      <c r="L70" s="16">
        <f>K70*$C$4</f>
        <v>7590899.23849901</v>
      </c>
      <c r="M70" s="19"/>
    </row>
    <row r="71" spans="1:13">
      <c r="A71" s="10">
        <v>59</v>
      </c>
      <c r="B71" s="11">
        <f t="shared" si="2"/>
        <v>46378</v>
      </c>
      <c r="C71" s="10" t="str">
        <f t="shared" si="0"/>
        <v>Selasa</v>
      </c>
      <c r="D71" s="12"/>
      <c r="E71" s="16" t="str">
        <f>IF(D71="","",D71*$C$4)</f>
        <v/>
      </c>
      <c r="F71" s="17" t="str">
        <f>IF(D71="","",$C$3+SUM(D$13:D71))</f>
        <v/>
      </c>
      <c r="G71" s="16" t="str">
        <f>IF(D71="","",F71*$C$4)</f>
        <v/>
      </c>
      <c r="H71" s="18" t="str">
        <f t="shared" si="1"/>
        <v/>
      </c>
      <c r="I71" s="10" t="str">
        <f>IF(D71="","",IF(H71&gt;=$C$5,"✔","✘"))</f>
        <v/>
      </c>
      <c r="J71" s="17">
        <f>K70*$C$5</f>
        <v>2120.36291578185</v>
      </c>
      <c r="K71" s="17">
        <f t="shared" si="3"/>
        <v>44527.6212314188</v>
      </c>
      <c r="L71" s="16">
        <f>K71*$C$4</f>
        <v>7970444.20042396</v>
      </c>
      <c r="M71" s="19"/>
    </row>
    <row r="72" spans="1:13">
      <c r="A72" s="10">
        <v>60</v>
      </c>
      <c r="B72" s="11">
        <f t="shared" si="2"/>
        <v>46379</v>
      </c>
      <c r="C72" s="10" t="str">
        <f t="shared" si="0"/>
        <v>Rabu</v>
      </c>
      <c r="D72" s="12"/>
      <c r="E72" s="16" t="str">
        <f>IF(D72="","",D72*$C$4)</f>
        <v/>
      </c>
      <c r="F72" s="17" t="str">
        <f>IF(D72="","",$C$3+SUM(D$13:D72))</f>
        <v/>
      </c>
      <c r="G72" s="16" t="str">
        <f>IF(D72="","",F72*$C$4)</f>
        <v/>
      </c>
      <c r="H72" s="18" t="str">
        <f t="shared" si="1"/>
        <v/>
      </c>
      <c r="I72" s="10" t="str">
        <f>IF(D72="","",IF(H72&gt;=$C$5,"✔","✘"))</f>
        <v/>
      </c>
      <c r="J72" s="17">
        <f>K71*$C$5</f>
        <v>2226.38106157094</v>
      </c>
      <c r="K72" s="17">
        <f t="shared" si="3"/>
        <v>46754.0022929897</v>
      </c>
      <c r="L72" s="16">
        <f>K72*$C$4</f>
        <v>8368966.41044516</v>
      </c>
      <c r="M72" s="19"/>
    </row>
    <row r="73" spans="1:13">
      <c r="A73" s="10">
        <v>61</v>
      </c>
      <c r="B73" s="11">
        <f t="shared" si="2"/>
        <v>46380</v>
      </c>
      <c r="C73" s="10" t="str">
        <f t="shared" si="0"/>
        <v>Kamis</v>
      </c>
      <c r="D73" s="12"/>
      <c r="E73" s="16" t="str">
        <f>IF(D73="","",D73*$C$4)</f>
        <v/>
      </c>
      <c r="F73" s="17" t="str">
        <f>IF(D73="","",$C$3+SUM(D$13:D73))</f>
        <v/>
      </c>
      <c r="G73" s="16" t="str">
        <f>IF(D73="","",F73*$C$4)</f>
        <v/>
      </c>
      <c r="H73" s="18" t="str">
        <f t="shared" si="1"/>
        <v/>
      </c>
      <c r="I73" s="10" t="str">
        <f>IF(D73="","",IF(H73&gt;=$C$5,"✔","✘"))</f>
        <v/>
      </c>
      <c r="J73" s="17">
        <f>K72*$C$5</f>
        <v>2337.70011464949</v>
      </c>
      <c r="K73" s="17">
        <f t="shared" si="3"/>
        <v>49091.7024076392</v>
      </c>
      <c r="L73" s="16">
        <f>K73*$C$4</f>
        <v>8787414.73096742</v>
      </c>
      <c r="M73" s="19"/>
    </row>
    <row r="74" spans="1:13">
      <c r="A74" s="10">
        <v>62</v>
      </c>
      <c r="B74" s="11">
        <f t="shared" si="2"/>
        <v>46381</v>
      </c>
      <c r="C74" s="10" t="str">
        <f t="shared" si="0"/>
        <v>Jumat</v>
      </c>
      <c r="D74" s="12"/>
      <c r="E74" s="16" t="str">
        <f>IF(D74="","",D74*$C$4)</f>
        <v/>
      </c>
      <c r="F74" s="17" t="str">
        <f>IF(D74="","",$C$3+SUM(D$13:D74))</f>
        <v/>
      </c>
      <c r="G74" s="16" t="str">
        <f>IF(D74="","",F74*$C$4)</f>
        <v/>
      </c>
      <c r="H74" s="18" t="str">
        <f t="shared" si="1"/>
        <v/>
      </c>
      <c r="I74" s="10" t="str">
        <f>IF(D74="","",IF(H74&gt;=$C$5,"✔","✘"))</f>
        <v/>
      </c>
      <c r="J74" s="17">
        <f>K73*$C$5</f>
        <v>2454.58512038196</v>
      </c>
      <c r="K74" s="17">
        <f t="shared" si="3"/>
        <v>51546.2875280212</v>
      </c>
      <c r="L74" s="16">
        <f>K74*$C$4</f>
        <v>9226785.46751579</v>
      </c>
      <c r="M74" s="19"/>
    </row>
    <row r="75" spans="1:13">
      <c r="A75" s="10">
        <v>63</v>
      </c>
      <c r="B75" s="11">
        <f t="shared" si="2"/>
        <v>46384</v>
      </c>
      <c r="C75" s="10" t="str">
        <f t="shared" si="0"/>
        <v>Senin</v>
      </c>
      <c r="D75" s="12"/>
      <c r="E75" s="16" t="str">
        <f>IF(D75="","",D75*$C$4)</f>
        <v/>
      </c>
      <c r="F75" s="17" t="str">
        <f>IF(D75="","",$C$3+SUM(D$13:D75))</f>
        <v/>
      </c>
      <c r="G75" s="16" t="str">
        <f>IF(D75="","",F75*$C$4)</f>
        <v/>
      </c>
      <c r="H75" s="18" t="str">
        <f t="shared" si="1"/>
        <v/>
      </c>
      <c r="I75" s="10" t="str">
        <f>IF(D75="","",IF(H75&gt;=$C$5,"✔","✘"))</f>
        <v/>
      </c>
      <c r="J75" s="17">
        <f>K74*$C$5</f>
        <v>2577.31437640106</v>
      </c>
      <c r="K75" s="17">
        <f t="shared" si="3"/>
        <v>54123.6019044222</v>
      </c>
      <c r="L75" s="16">
        <f>K75*$C$4</f>
        <v>9688124.74089158</v>
      </c>
      <c r="M75" s="19"/>
    </row>
    <row r="76" spans="1:13">
      <c r="A76" s="10">
        <v>64</v>
      </c>
      <c r="B76" s="11">
        <f t="shared" si="2"/>
        <v>46385</v>
      </c>
      <c r="C76" s="10" t="str">
        <f t="shared" si="0"/>
        <v>Selasa</v>
      </c>
      <c r="D76" s="12"/>
      <c r="E76" s="16" t="str">
        <f>IF(D76="","",D76*$C$4)</f>
        <v/>
      </c>
      <c r="F76" s="17" t="str">
        <f>IF(D76="","",$C$3+SUM(D$13:D76))</f>
        <v/>
      </c>
      <c r="G76" s="16" t="str">
        <f>IF(D76="","",F76*$C$4)</f>
        <v/>
      </c>
      <c r="H76" s="18" t="str">
        <f t="shared" si="1"/>
        <v/>
      </c>
      <c r="I76" s="10" t="str">
        <f>IF(D76="","",IF(H76&gt;=$C$5,"✔","✘"))</f>
        <v/>
      </c>
      <c r="J76" s="17">
        <f>K75*$C$5</f>
        <v>2706.18009522111</v>
      </c>
      <c r="K76" s="17">
        <f t="shared" si="3"/>
        <v>56829.7819996433</v>
      </c>
      <c r="L76" s="16">
        <f>K76*$C$4</f>
        <v>10172530.9779362</v>
      </c>
      <c r="M76" s="19"/>
    </row>
    <row r="77" spans="1:13">
      <c r="A77" s="10">
        <v>65</v>
      </c>
      <c r="B77" s="11">
        <f t="shared" si="2"/>
        <v>46386</v>
      </c>
      <c r="C77" s="10" t="str">
        <f t="shared" ref="C77:C140" si="4">CHOOSE(WEEKDAY(B77,2),"Senin","Selasa","Rabu","Kamis","Jumat","Sabtu","Minggu")</f>
        <v>Rabu</v>
      </c>
      <c r="D77" s="12"/>
      <c r="E77" s="16" t="str">
        <f>IF(D77="","",D77*$C$4)</f>
        <v/>
      </c>
      <c r="F77" s="17" t="str">
        <f>IF(D77="","",$C$3+SUM(D$13:D77))</f>
        <v/>
      </c>
      <c r="G77" s="16" t="str">
        <f>IF(D77="","",F77*$C$4)</f>
        <v/>
      </c>
      <c r="H77" s="18" t="str">
        <f t="shared" ref="H77:H140" si="5">IF(D77="","",D77/(F77-D77))</f>
        <v/>
      </c>
      <c r="I77" s="10" t="str">
        <f>IF(D77="","",IF(H77&gt;=$C$5,"✔","✘"))</f>
        <v/>
      </c>
      <c r="J77" s="17">
        <f>K76*$C$5</f>
        <v>2841.48909998217</v>
      </c>
      <c r="K77" s="17">
        <f t="shared" si="3"/>
        <v>59671.2710996255</v>
      </c>
      <c r="L77" s="16">
        <f>K77*$C$4</f>
        <v>10681157.526833</v>
      </c>
      <c r="M77" s="19"/>
    </row>
    <row r="78" spans="1:13">
      <c r="A78" s="10">
        <v>66</v>
      </c>
      <c r="B78" s="11">
        <f t="shared" ref="B78:B141" si="6">WORKDAY(B77,1)</f>
        <v>46387</v>
      </c>
      <c r="C78" s="10" t="str">
        <f t="shared" si="4"/>
        <v>Kamis</v>
      </c>
      <c r="D78" s="12"/>
      <c r="E78" s="16" t="str">
        <f>IF(D78="","",D78*$C$4)</f>
        <v/>
      </c>
      <c r="F78" s="17" t="str">
        <f>IF(D78="","",$C$3+SUM(D$13:D78))</f>
        <v/>
      </c>
      <c r="G78" s="16" t="str">
        <f>IF(D78="","",F78*$C$4)</f>
        <v/>
      </c>
      <c r="H78" s="18" t="str">
        <f t="shared" si="5"/>
        <v/>
      </c>
      <c r="I78" s="10" t="str">
        <f>IF(D78="","",IF(H78&gt;=$C$5,"✔","✘"))</f>
        <v/>
      </c>
      <c r="J78" s="17">
        <f>K77*$C$5</f>
        <v>2983.56355498128</v>
      </c>
      <c r="K78" s="17">
        <f t="shared" ref="K78:K141" si="7">K77+J78</f>
        <v>62654.8346546068</v>
      </c>
      <c r="L78" s="16">
        <f>K78*$C$4</f>
        <v>11215215.4031746</v>
      </c>
      <c r="M78" s="19"/>
    </row>
    <row r="79" spans="1:13">
      <c r="A79" s="10">
        <v>67</v>
      </c>
      <c r="B79" s="11">
        <f t="shared" si="6"/>
        <v>46388</v>
      </c>
      <c r="C79" s="10" t="str">
        <f t="shared" si="4"/>
        <v>Jumat</v>
      </c>
      <c r="D79" s="12"/>
      <c r="E79" s="16" t="str">
        <f>IF(D79="","",D79*$C$4)</f>
        <v/>
      </c>
      <c r="F79" s="17" t="str">
        <f>IF(D79="","",$C$3+SUM(D$13:D79))</f>
        <v/>
      </c>
      <c r="G79" s="16" t="str">
        <f>IF(D79="","",F79*$C$4)</f>
        <v/>
      </c>
      <c r="H79" s="18" t="str">
        <f t="shared" si="5"/>
        <v/>
      </c>
      <c r="I79" s="10" t="str">
        <f>IF(D79="","",IF(H79&gt;=$C$5,"✔","✘"))</f>
        <v/>
      </c>
      <c r="J79" s="17">
        <f>K78*$C$5</f>
        <v>3132.74173273034</v>
      </c>
      <c r="K79" s="17">
        <f t="shared" si="7"/>
        <v>65787.5763873371</v>
      </c>
      <c r="L79" s="16">
        <f>K79*$C$4</f>
        <v>11775976.1733333</v>
      </c>
      <c r="M79" s="19"/>
    </row>
    <row r="80" spans="1:13">
      <c r="A80" s="10">
        <v>68</v>
      </c>
      <c r="B80" s="11">
        <f t="shared" si="6"/>
        <v>46391</v>
      </c>
      <c r="C80" s="10" t="str">
        <f t="shared" si="4"/>
        <v>Senin</v>
      </c>
      <c r="D80" s="12"/>
      <c r="E80" s="16" t="str">
        <f>IF(D80="","",D80*$C$4)</f>
        <v/>
      </c>
      <c r="F80" s="17" t="str">
        <f>IF(D80="","",$C$3+SUM(D$13:D80))</f>
        <v/>
      </c>
      <c r="G80" s="16" t="str">
        <f>IF(D80="","",F80*$C$4)</f>
        <v/>
      </c>
      <c r="H80" s="18" t="str">
        <f t="shared" si="5"/>
        <v/>
      </c>
      <c r="I80" s="10" t="str">
        <f>IF(D80="","",IF(H80&gt;=$C$5,"✔","✘"))</f>
        <v/>
      </c>
      <c r="J80" s="17">
        <f>K79*$C$5</f>
        <v>3289.37881936686</v>
      </c>
      <c r="K80" s="17">
        <f t="shared" si="7"/>
        <v>69076.955206704</v>
      </c>
      <c r="L80" s="16">
        <f>K80*$C$4</f>
        <v>12364774.982</v>
      </c>
      <c r="M80" s="19"/>
    </row>
    <row r="81" spans="1:13">
      <c r="A81" s="10">
        <v>69</v>
      </c>
      <c r="B81" s="11">
        <f t="shared" si="6"/>
        <v>46392</v>
      </c>
      <c r="C81" s="10" t="str">
        <f t="shared" si="4"/>
        <v>Selasa</v>
      </c>
      <c r="D81" s="12"/>
      <c r="E81" s="16" t="str">
        <f>IF(D81="","",D81*$C$4)</f>
        <v/>
      </c>
      <c r="F81" s="17" t="str">
        <f>IF(D81="","",$C$3+SUM(D$13:D81))</f>
        <v/>
      </c>
      <c r="G81" s="16" t="str">
        <f>IF(D81="","",F81*$C$4)</f>
        <v/>
      </c>
      <c r="H81" s="18" t="str">
        <f t="shared" si="5"/>
        <v/>
      </c>
      <c r="I81" s="10" t="str">
        <f>IF(D81="","",IF(H81&gt;=$C$5,"✔","✘"))</f>
        <v/>
      </c>
      <c r="J81" s="17">
        <f>K80*$C$5</f>
        <v>3453.8477603352</v>
      </c>
      <c r="K81" s="17">
        <f t="shared" si="7"/>
        <v>72530.8029670392</v>
      </c>
      <c r="L81" s="16">
        <f>K81*$C$4</f>
        <v>12983013.7311</v>
      </c>
      <c r="M81" s="19"/>
    </row>
    <row r="82" spans="1:13">
      <c r="A82" s="10">
        <v>70</v>
      </c>
      <c r="B82" s="11">
        <f t="shared" si="6"/>
        <v>46393</v>
      </c>
      <c r="C82" s="10" t="str">
        <f t="shared" si="4"/>
        <v>Rabu</v>
      </c>
      <c r="D82" s="12"/>
      <c r="E82" s="16" t="str">
        <f>IF(D82="","",D82*$C$4)</f>
        <v/>
      </c>
      <c r="F82" s="17" t="str">
        <f>IF(D82="","",$C$3+SUM(D$13:D82))</f>
        <v/>
      </c>
      <c r="G82" s="16" t="str">
        <f>IF(D82="","",F82*$C$4)</f>
        <v/>
      </c>
      <c r="H82" s="18" t="str">
        <f t="shared" si="5"/>
        <v/>
      </c>
      <c r="I82" s="10" t="str">
        <f>IF(D82="","",IF(H82&gt;=$C$5,"✔","✘"))</f>
        <v/>
      </c>
      <c r="J82" s="17">
        <f>K81*$C$5</f>
        <v>3626.54014835196</v>
      </c>
      <c r="K82" s="17">
        <f t="shared" si="7"/>
        <v>76157.3431153911</v>
      </c>
      <c r="L82" s="16">
        <f>K82*$C$4</f>
        <v>13632164.417655</v>
      </c>
      <c r="M82" s="19"/>
    </row>
    <row r="83" spans="1:13">
      <c r="A83" s="10">
        <v>71</v>
      </c>
      <c r="B83" s="11">
        <f t="shared" si="6"/>
        <v>46394</v>
      </c>
      <c r="C83" s="10" t="str">
        <f t="shared" si="4"/>
        <v>Kamis</v>
      </c>
      <c r="D83" s="12"/>
      <c r="E83" s="16" t="str">
        <f>IF(D83="","",D83*$C$4)</f>
        <v/>
      </c>
      <c r="F83" s="17" t="str">
        <f>IF(D83="","",$C$3+SUM(D$13:D83))</f>
        <v/>
      </c>
      <c r="G83" s="16" t="str">
        <f>IF(D83="","",F83*$C$4)</f>
        <v/>
      </c>
      <c r="H83" s="18" t="str">
        <f t="shared" si="5"/>
        <v/>
      </c>
      <c r="I83" s="10" t="str">
        <f>IF(D83="","",IF(H83&gt;=$C$5,"✔","✘"))</f>
        <v/>
      </c>
      <c r="J83" s="17">
        <f>K82*$C$5</f>
        <v>3807.86715576956</v>
      </c>
      <c r="K83" s="17">
        <f t="shared" si="7"/>
        <v>79965.2102711607</v>
      </c>
      <c r="L83" s="16">
        <f>K83*$C$4</f>
        <v>14313772.6385378</v>
      </c>
      <c r="M83" s="19"/>
    </row>
    <row r="84" spans="1:13">
      <c r="A84" s="10">
        <v>72</v>
      </c>
      <c r="B84" s="11">
        <f t="shared" si="6"/>
        <v>46395</v>
      </c>
      <c r="C84" s="10" t="str">
        <f t="shared" si="4"/>
        <v>Jumat</v>
      </c>
      <c r="D84" s="12"/>
      <c r="E84" s="16" t="str">
        <f>IF(D84="","",D84*$C$4)</f>
        <v/>
      </c>
      <c r="F84" s="17" t="str">
        <f>IF(D84="","",$C$3+SUM(D$13:D84))</f>
        <v/>
      </c>
      <c r="G84" s="16" t="str">
        <f>IF(D84="","",F84*$C$4)</f>
        <v/>
      </c>
      <c r="H84" s="18" t="str">
        <f t="shared" si="5"/>
        <v/>
      </c>
      <c r="I84" s="10" t="str">
        <f>IF(D84="","",IF(H84&gt;=$C$5,"✔","✘"))</f>
        <v/>
      </c>
      <c r="J84" s="17">
        <f>K83*$C$5</f>
        <v>3998.26051355803</v>
      </c>
      <c r="K84" s="17">
        <f t="shared" si="7"/>
        <v>83963.4707847187</v>
      </c>
      <c r="L84" s="16">
        <f>K84*$C$4</f>
        <v>15029461.2704646</v>
      </c>
      <c r="M84" s="19"/>
    </row>
    <row r="85" spans="1:13">
      <c r="A85" s="10">
        <v>73</v>
      </c>
      <c r="B85" s="11">
        <f t="shared" si="6"/>
        <v>46398</v>
      </c>
      <c r="C85" s="10" t="str">
        <f t="shared" si="4"/>
        <v>Senin</v>
      </c>
      <c r="D85" s="12"/>
      <c r="E85" s="16" t="str">
        <f>IF(D85="","",D85*$C$4)</f>
        <v/>
      </c>
      <c r="F85" s="17" t="str">
        <f>IF(D85="","",$C$3+SUM(D$13:D85))</f>
        <v/>
      </c>
      <c r="G85" s="16" t="str">
        <f>IF(D85="","",F85*$C$4)</f>
        <v/>
      </c>
      <c r="H85" s="18" t="str">
        <f t="shared" si="5"/>
        <v/>
      </c>
      <c r="I85" s="10" t="str">
        <f>IF(D85="","",IF(H85&gt;=$C$5,"✔","✘"))</f>
        <v/>
      </c>
      <c r="J85" s="17">
        <f>K84*$C$5</f>
        <v>4198.17353923594</v>
      </c>
      <c r="K85" s="17">
        <f t="shared" si="7"/>
        <v>88161.6443239546</v>
      </c>
      <c r="L85" s="16">
        <f>K85*$C$4</f>
        <v>15780934.3339879</v>
      </c>
      <c r="M85" s="19"/>
    </row>
    <row r="86" spans="1:13">
      <c r="A86" s="10">
        <v>74</v>
      </c>
      <c r="B86" s="11">
        <f t="shared" si="6"/>
        <v>46399</v>
      </c>
      <c r="C86" s="10" t="str">
        <f t="shared" si="4"/>
        <v>Selasa</v>
      </c>
      <c r="D86" s="12"/>
      <c r="E86" s="16" t="str">
        <f>IF(D86="","",D86*$C$4)</f>
        <v/>
      </c>
      <c r="F86" s="17" t="str">
        <f>IF(D86="","",$C$3+SUM(D$13:D86))</f>
        <v/>
      </c>
      <c r="G86" s="16" t="str">
        <f>IF(D86="","",F86*$C$4)</f>
        <v/>
      </c>
      <c r="H86" s="18" t="str">
        <f t="shared" si="5"/>
        <v/>
      </c>
      <c r="I86" s="10" t="str">
        <f>IF(D86="","",IF(H86&gt;=$C$5,"✔","✘"))</f>
        <v/>
      </c>
      <c r="J86" s="17">
        <f>K85*$C$5</f>
        <v>4408.08221619773</v>
      </c>
      <c r="K86" s="17">
        <f t="shared" si="7"/>
        <v>92569.7265401524</v>
      </c>
      <c r="L86" s="16">
        <f>K86*$C$4</f>
        <v>16569981.0506873</v>
      </c>
      <c r="M86" s="19"/>
    </row>
    <row r="87" spans="1:13">
      <c r="A87" s="10">
        <v>75</v>
      </c>
      <c r="B87" s="11">
        <f t="shared" si="6"/>
        <v>46400</v>
      </c>
      <c r="C87" s="10" t="str">
        <f t="shared" si="4"/>
        <v>Rabu</v>
      </c>
      <c r="D87" s="12"/>
      <c r="E87" s="16" t="str">
        <f>IF(D87="","",D87*$C$4)</f>
        <v/>
      </c>
      <c r="F87" s="17" t="str">
        <f>IF(D87="","",$C$3+SUM(D$13:D87))</f>
        <v/>
      </c>
      <c r="G87" s="16" t="str">
        <f>IF(D87="","",F87*$C$4)</f>
        <v/>
      </c>
      <c r="H87" s="18" t="str">
        <f t="shared" si="5"/>
        <v/>
      </c>
      <c r="I87" s="10" t="str">
        <f>IF(D87="","",IF(H87&gt;=$C$5,"✔","✘"))</f>
        <v/>
      </c>
      <c r="J87" s="17">
        <f>K86*$C$5</f>
        <v>4628.48632700762</v>
      </c>
      <c r="K87" s="17">
        <f t="shared" si="7"/>
        <v>97198.21286716</v>
      </c>
      <c r="L87" s="16">
        <f>K87*$C$4</f>
        <v>17398480.1032216</v>
      </c>
      <c r="M87" s="19"/>
    </row>
    <row r="88" spans="1:13">
      <c r="A88" s="10">
        <v>76</v>
      </c>
      <c r="B88" s="11">
        <f t="shared" si="6"/>
        <v>46401</v>
      </c>
      <c r="C88" s="10" t="str">
        <f t="shared" si="4"/>
        <v>Kamis</v>
      </c>
      <c r="D88" s="12"/>
      <c r="E88" s="16" t="str">
        <f>IF(D88="","",D88*$C$4)</f>
        <v/>
      </c>
      <c r="F88" s="17" t="str">
        <f>IF(D88="","",$C$3+SUM(D$13:D88))</f>
        <v/>
      </c>
      <c r="G88" s="16" t="str">
        <f>IF(D88="","",F88*$C$4)</f>
        <v/>
      </c>
      <c r="H88" s="18" t="str">
        <f t="shared" si="5"/>
        <v/>
      </c>
      <c r="I88" s="10" t="str">
        <f>IF(D88="","",IF(H88&gt;=$C$5,"✔","✘"))</f>
        <v/>
      </c>
      <c r="J88" s="17">
        <f>K87*$C$5</f>
        <v>4859.910643358</v>
      </c>
      <c r="K88" s="17">
        <f t="shared" si="7"/>
        <v>102058.123510518</v>
      </c>
      <c r="L88" s="16">
        <f>K88*$C$4</f>
        <v>18268404.1083827</v>
      </c>
      <c r="M88" s="19"/>
    </row>
    <row r="89" spans="1:13">
      <c r="A89" s="10">
        <v>77</v>
      </c>
      <c r="B89" s="11">
        <f t="shared" si="6"/>
        <v>46402</v>
      </c>
      <c r="C89" s="10" t="str">
        <f t="shared" si="4"/>
        <v>Jumat</v>
      </c>
      <c r="D89" s="12"/>
      <c r="E89" s="16" t="str">
        <f>IF(D89="","",D89*$C$4)</f>
        <v/>
      </c>
      <c r="F89" s="17" t="str">
        <f>IF(D89="","",$C$3+SUM(D$13:D89))</f>
        <v/>
      </c>
      <c r="G89" s="16" t="str">
        <f>IF(D89="","",F89*$C$4)</f>
        <v/>
      </c>
      <c r="H89" s="18" t="str">
        <f t="shared" si="5"/>
        <v/>
      </c>
      <c r="I89" s="10" t="str">
        <f>IF(D89="","",IF(H89&gt;=$C$5,"✔","✘"))</f>
        <v/>
      </c>
      <c r="J89" s="17">
        <f>K88*$C$5</f>
        <v>5102.9061755259</v>
      </c>
      <c r="K89" s="17">
        <f t="shared" si="7"/>
        <v>107161.029686044</v>
      </c>
      <c r="L89" s="16">
        <f>K89*$C$4</f>
        <v>19181824.3138019</v>
      </c>
      <c r="M89" s="19"/>
    </row>
    <row r="90" spans="1:13">
      <c r="A90" s="10">
        <v>78</v>
      </c>
      <c r="B90" s="11">
        <f t="shared" si="6"/>
        <v>46405</v>
      </c>
      <c r="C90" s="10" t="str">
        <f t="shared" si="4"/>
        <v>Senin</v>
      </c>
      <c r="D90" s="12"/>
      <c r="E90" s="16" t="str">
        <f>IF(D90="","",D90*$C$4)</f>
        <v/>
      </c>
      <c r="F90" s="17" t="str">
        <f>IF(D90="","",$C$3+SUM(D$13:D90))</f>
        <v/>
      </c>
      <c r="G90" s="16" t="str">
        <f>IF(D90="","",F90*$C$4)</f>
        <v/>
      </c>
      <c r="H90" s="18" t="str">
        <f t="shared" si="5"/>
        <v/>
      </c>
      <c r="I90" s="10" t="str">
        <f>IF(D90="","",IF(H90&gt;=$C$5,"✔","✘"))</f>
        <v/>
      </c>
      <c r="J90" s="17">
        <f>K89*$C$5</f>
        <v>5358.05148430219</v>
      </c>
      <c r="K90" s="17">
        <f t="shared" si="7"/>
        <v>112519.081170346</v>
      </c>
      <c r="L90" s="16">
        <f>K90*$C$4</f>
        <v>20140915.5294919</v>
      </c>
      <c r="M90" s="19"/>
    </row>
    <row r="91" spans="1:13">
      <c r="A91" s="10">
        <v>79</v>
      </c>
      <c r="B91" s="11">
        <f t="shared" si="6"/>
        <v>46406</v>
      </c>
      <c r="C91" s="10" t="str">
        <f t="shared" si="4"/>
        <v>Selasa</v>
      </c>
      <c r="D91" s="12"/>
      <c r="E91" s="16" t="str">
        <f>IF(D91="","",D91*$C$4)</f>
        <v/>
      </c>
      <c r="F91" s="17" t="str">
        <f>IF(D91="","",$C$3+SUM(D$13:D91))</f>
        <v/>
      </c>
      <c r="G91" s="16" t="str">
        <f>IF(D91="","",F91*$C$4)</f>
        <v/>
      </c>
      <c r="H91" s="18" t="str">
        <f t="shared" si="5"/>
        <v/>
      </c>
      <c r="I91" s="10" t="str">
        <f>IF(D91="","",IF(H91&gt;=$C$5,"✔","✘"))</f>
        <v/>
      </c>
      <c r="J91" s="17">
        <f>K90*$C$5</f>
        <v>5625.9540585173</v>
      </c>
      <c r="K91" s="17">
        <f t="shared" si="7"/>
        <v>118145.035228863</v>
      </c>
      <c r="L91" s="16">
        <f>K91*$C$4</f>
        <v>21147961.3059665</v>
      </c>
      <c r="M91" s="19"/>
    </row>
    <row r="92" spans="1:13">
      <c r="A92" s="10">
        <v>80</v>
      </c>
      <c r="B92" s="11">
        <f t="shared" si="6"/>
        <v>46407</v>
      </c>
      <c r="C92" s="10" t="str">
        <f t="shared" si="4"/>
        <v>Rabu</v>
      </c>
      <c r="D92" s="12"/>
      <c r="E92" s="16" t="str">
        <f>IF(D92="","",D92*$C$4)</f>
        <v/>
      </c>
      <c r="F92" s="17" t="str">
        <f>IF(D92="","",$C$3+SUM(D$13:D92))</f>
        <v/>
      </c>
      <c r="G92" s="16" t="str">
        <f>IF(D92="","",F92*$C$4)</f>
        <v/>
      </c>
      <c r="H92" s="18" t="str">
        <f t="shared" si="5"/>
        <v/>
      </c>
      <c r="I92" s="10" t="str">
        <f>IF(D92="","",IF(H92&gt;=$C$5,"✔","✘"))</f>
        <v/>
      </c>
      <c r="J92" s="17">
        <f>K91*$C$5</f>
        <v>5907.25176144317</v>
      </c>
      <c r="K92" s="17">
        <f t="shared" si="7"/>
        <v>124052.286990307</v>
      </c>
      <c r="L92" s="16">
        <f>K92*$C$4</f>
        <v>22205359.3712649</v>
      </c>
      <c r="M92" s="19"/>
    </row>
    <row r="93" spans="1:13">
      <c r="A93" s="10">
        <v>81</v>
      </c>
      <c r="B93" s="11">
        <f t="shared" si="6"/>
        <v>46408</v>
      </c>
      <c r="C93" s="10" t="str">
        <f t="shared" si="4"/>
        <v>Kamis</v>
      </c>
      <c r="D93" s="12"/>
      <c r="E93" s="16" t="str">
        <f>IF(D93="","",D93*$C$4)</f>
        <v/>
      </c>
      <c r="F93" s="17" t="str">
        <f>IF(D93="","",$C$3+SUM(D$13:D93))</f>
        <v/>
      </c>
      <c r="G93" s="16" t="str">
        <f>IF(D93="","",F93*$C$4)</f>
        <v/>
      </c>
      <c r="H93" s="18" t="str">
        <f t="shared" si="5"/>
        <v/>
      </c>
      <c r="I93" s="10" t="str">
        <f>IF(D93="","",IF(H93&gt;=$C$5,"✔","✘"))</f>
        <v/>
      </c>
      <c r="J93" s="17">
        <f>K92*$C$5</f>
        <v>6202.61434951533</v>
      </c>
      <c r="K93" s="17">
        <f t="shared" si="7"/>
        <v>130254.901339822</v>
      </c>
      <c r="L93" s="16">
        <f>K93*$C$4</f>
        <v>23315627.3398281</v>
      </c>
      <c r="M93" s="19"/>
    </row>
    <row r="94" spans="1:13">
      <c r="A94" s="10">
        <v>82</v>
      </c>
      <c r="B94" s="11">
        <f t="shared" si="6"/>
        <v>46409</v>
      </c>
      <c r="C94" s="10" t="str">
        <f t="shared" si="4"/>
        <v>Jumat</v>
      </c>
      <c r="D94" s="12"/>
      <c r="E94" s="16" t="str">
        <f>IF(D94="","",D94*$C$4)</f>
        <v/>
      </c>
      <c r="F94" s="17" t="str">
        <f>IF(D94="","",$C$3+SUM(D$13:D94))</f>
        <v/>
      </c>
      <c r="G94" s="16" t="str">
        <f>IF(D94="","",F94*$C$4)</f>
        <v/>
      </c>
      <c r="H94" s="18" t="str">
        <f t="shared" si="5"/>
        <v/>
      </c>
      <c r="I94" s="10" t="str">
        <f>IF(D94="","",IF(H94&gt;=$C$5,"✔","✘"))</f>
        <v/>
      </c>
      <c r="J94" s="17">
        <f>K93*$C$5</f>
        <v>6512.74506699109</v>
      </c>
      <c r="K94" s="17">
        <f t="shared" si="7"/>
        <v>136767.646406813</v>
      </c>
      <c r="L94" s="16">
        <f>K94*$C$4</f>
        <v>24481408.7068195</v>
      </c>
      <c r="M94" s="19"/>
    </row>
    <row r="95" spans="1:13">
      <c r="A95" s="10">
        <v>83</v>
      </c>
      <c r="B95" s="11">
        <f t="shared" si="6"/>
        <v>46412</v>
      </c>
      <c r="C95" s="10" t="str">
        <f t="shared" si="4"/>
        <v>Senin</v>
      </c>
      <c r="D95" s="12"/>
      <c r="E95" s="16" t="str">
        <f>IF(D95="","",D95*$C$4)</f>
        <v/>
      </c>
      <c r="F95" s="17" t="str">
        <f>IF(D95="","",$C$3+SUM(D$13:D95))</f>
        <v/>
      </c>
      <c r="G95" s="16" t="str">
        <f>IF(D95="","",F95*$C$4)</f>
        <v/>
      </c>
      <c r="H95" s="18" t="str">
        <f t="shared" si="5"/>
        <v/>
      </c>
      <c r="I95" s="10" t="str">
        <f>IF(D95="","",IF(H95&gt;=$C$5,"✔","✘"))</f>
        <v/>
      </c>
      <c r="J95" s="17">
        <f>K94*$C$5</f>
        <v>6838.38232034065</v>
      </c>
      <c r="K95" s="17">
        <f t="shared" si="7"/>
        <v>143606.028727154</v>
      </c>
      <c r="L95" s="16">
        <f>K95*$C$4</f>
        <v>25705479.1421605</v>
      </c>
      <c r="M95" s="19"/>
    </row>
    <row r="96" spans="1:13">
      <c r="A96" s="10">
        <v>84</v>
      </c>
      <c r="B96" s="11">
        <f t="shared" si="6"/>
        <v>46413</v>
      </c>
      <c r="C96" s="10" t="str">
        <f t="shared" si="4"/>
        <v>Selasa</v>
      </c>
      <c r="D96" s="12"/>
      <c r="E96" s="16" t="str">
        <f>IF(D96="","",D96*$C$4)</f>
        <v/>
      </c>
      <c r="F96" s="17" t="str">
        <f>IF(D96="","",$C$3+SUM(D$13:D96))</f>
        <v/>
      </c>
      <c r="G96" s="16" t="str">
        <f>IF(D96="","",F96*$C$4)</f>
        <v/>
      </c>
      <c r="H96" s="18" t="str">
        <f t="shared" si="5"/>
        <v/>
      </c>
      <c r="I96" s="10" t="str">
        <f>IF(D96="","",IF(H96&gt;=$C$5,"✔","✘"))</f>
        <v/>
      </c>
      <c r="J96" s="17">
        <f>K95*$C$5</f>
        <v>7180.30143635768</v>
      </c>
      <c r="K96" s="17">
        <f t="shared" si="7"/>
        <v>150786.330163511</v>
      </c>
      <c r="L96" s="16">
        <f>K96*$C$4</f>
        <v>26990753.0992685</v>
      </c>
      <c r="M96" s="19"/>
    </row>
    <row r="97" spans="1:13">
      <c r="A97" s="10">
        <v>85</v>
      </c>
      <c r="B97" s="11">
        <f t="shared" si="6"/>
        <v>46414</v>
      </c>
      <c r="C97" s="10" t="str">
        <f t="shared" si="4"/>
        <v>Rabu</v>
      </c>
      <c r="D97" s="12"/>
      <c r="E97" s="16" t="str">
        <f>IF(D97="","",D97*$C$4)</f>
        <v/>
      </c>
      <c r="F97" s="17" t="str">
        <f>IF(D97="","",$C$3+SUM(D$13:D97))</f>
        <v/>
      </c>
      <c r="G97" s="16" t="str">
        <f>IF(D97="","",F97*$C$4)</f>
        <v/>
      </c>
      <c r="H97" s="18" t="str">
        <f t="shared" si="5"/>
        <v/>
      </c>
      <c r="I97" s="10" t="str">
        <f>IF(D97="","",IF(H97&gt;=$C$5,"✔","✘"))</f>
        <v/>
      </c>
      <c r="J97" s="17">
        <f>K96*$C$5</f>
        <v>7539.31650817556</v>
      </c>
      <c r="K97" s="17">
        <f t="shared" si="7"/>
        <v>158325.646671687</v>
      </c>
      <c r="L97" s="16">
        <f>K97*$C$4</f>
        <v>28340290.7542319</v>
      </c>
      <c r="M97" s="19"/>
    </row>
    <row r="98" spans="1:13">
      <c r="A98" s="10">
        <v>86</v>
      </c>
      <c r="B98" s="11">
        <f t="shared" si="6"/>
        <v>46415</v>
      </c>
      <c r="C98" s="10" t="str">
        <f t="shared" si="4"/>
        <v>Kamis</v>
      </c>
      <c r="D98" s="12"/>
      <c r="E98" s="16" t="str">
        <f>IF(D98="","",D98*$C$4)</f>
        <v/>
      </c>
      <c r="F98" s="17" t="str">
        <f>IF(D98="","",$C$3+SUM(D$13:D98))</f>
        <v/>
      </c>
      <c r="G98" s="16" t="str">
        <f>IF(D98="","",F98*$C$4)</f>
        <v/>
      </c>
      <c r="H98" s="18" t="str">
        <f t="shared" si="5"/>
        <v/>
      </c>
      <c r="I98" s="10" t="str">
        <f>IF(D98="","",IF(H98&gt;=$C$5,"✔","✘"))</f>
        <v/>
      </c>
      <c r="J98" s="17">
        <f>K97*$C$5</f>
        <v>7916.28233358434</v>
      </c>
      <c r="K98" s="17">
        <f t="shared" si="7"/>
        <v>166241.929005271</v>
      </c>
      <c r="L98" s="16">
        <f>K98*$C$4</f>
        <v>29757305.2919435</v>
      </c>
      <c r="M98" s="19"/>
    </row>
    <row r="99" spans="1:13">
      <c r="A99" s="10">
        <v>87</v>
      </c>
      <c r="B99" s="11">
        <f t="shared" si="6"/>
        <v>46416</v>
      </c>
      <c r="C99" s="10" t="str">
        <f t="shared" si="4"/>
        <v>Jumat</v>
      </c>
      <c r="D99" s="12"/>
      <c r="E99" s="16" t="str">
        <f>IF(D99="","",D99*$C$4)</f>
        <v/>
      </c>
      <c r="F99" s="17" t="str">
        <f>IF(D99="","",$C$3+SUM(D$13:D99))</f>
        <v/>
      </c>
      <c r="G99" s="16" t="str">
        <f>IF(D99="","",F99*$C$4)</f>
        <v/>
      </c>
      <c r="H99" s="18" t="str">
        <f t="shared" si="5"/>
        <v/>
      </c>
      <c r="I99" s="10" t="str">
        <f>IF(D99="","",IF(H99&gt;=$C$5,"✔","✘"))</f>
        <v/>
      </c>
      <c r="J99" s="17">
        <f>K98*$C$5</f>
        <v>8312.09645026356</v>
      </c>
      <c r="K99" s="17">
        <f t="shared" si="7"/>
        <v>174554.025455535</v>
      </c>
      <c r="L99" s="16">
        <f>K99*$C$4</f>
        <v>31245170.5565407</v>
      </c>
      <c r="M99" s="19"/>
    </row>
    <row r="100" spans="1:13">
      <c r="A100" s="10">
        <v>88</v>
      </c>
      <c r="B100" s="11">
        <f t="shared" si="6"/>
        <v>46419</v>
      </c>
      <c r="C100" s="10" t="str">
        <f t="shared" si="4"/>
        <v>Senin</v>
      </c>
      <c r="D100" s="12"/>
      <c r="E100" s="16" t="str">
        <f>IF(D100="","",D100*$C$4)</f>
        <v/>
      </c>
      <c r="F100" s="17" t="str">
        <f>IF(D100="","",$C$3+SUM(D$13:D100))</f>
        <v/>
      </c>
      <c r="G100" s="16" t="str">
        <f>IF(D100="","",F100*$C$4)</f>
        <v/>
      </c>
      <c r="H100" s="18" t="str">
        <f t="shared" si="5"/>
        <v/>
      </c>
      <c r="I100" s="10" t="str">
        <f>IF(D100="","",IF(H100&gt;=$C$5,"✔","✘"))</f>
        <v/>
      </c>
      <c r="J100" s="17">
        <f>K99*$C$5</f>
        <v>8727.70127277674</v>
      </c>
      <c r="K100" s="17">
        <f t="shared" si="7"/>
        <v>183281.726728311</v>
      </c>
      <c r="L100" s="16">
        <f>K100*$C$4</f>
        <v>32807429.0843677</v>
      </c>
      <c r="M100" s="19"/>
    </row>
    <row r="101" spans="1:13">
      <c r="A101" s="10">
        <v>89</v>
      </c>
      <c r="B101" s="11">
        <f t="shared" si="6"/>
        <v>46420</v>
      </c>
      <c r="C101" s="10" t="str">
        <f t="shared" si="4"/>
        <v>Selasa</v>
      </c>
      <c r="D101" s="12"/>
      <c r="E101" s="16" t="str">
        <f>IF(D101="","",D101*$C$4)</f>
        <v/>
      </c>
      <c r="F101" s="17" t="str">
        <f>IF(D101="","",$C$3+SUM(D$13:D101))</f>
        <v/>
      </c>
      <c r="G101" s="16" t="str">
        <f>IF(D101="","",F101*$C$4)</f>
        <v/>
      </c>
      <c r="H101" s="18" t="str">
        <f t="shared" si="5"/>
        <v/>
      </c>
      <c r="I101" s="10" t="str">
        <f>IF(D101="","",IF(H101&gt;=$C$5,"✔","✘"))</f>
        <v/>
      </c>
      <c r="J101" s="17">
        <f>K100*$C$5</f>
        <v>9164.08633641557</v>
      </c>
      <c r="K101" s="17">
        <f t="shared" si="7"/>
        <v>192445.813064727</v>
      </c>
      <c r="L101" s="16">
        <f>K101*$C$4</f>
        <v>34447800.5385861</v>
      </c>
      <c r="M101" s="19"/>
    </row>
    <row r="102" spans="1:13">
      <c r="A102" s="10">
        <v>90</v>
      </c>
      <c r="B102" s="11">
        <f t="shared" si="6"/>
        <v>46421</v>
      </c>
      <c r="C102" s="10" t="str">
        <f t="shared" si="4"/>
        <v>Rabu</v>
      </c>
      <c r="D102" s="12"/>
      <c r="E102" s="16" t="str">
        <f>IF(D102="","",D102*$C$4)</f>
        <v/>
      </c>
      <c r="F102" s="17" t="str">
        <f>IF(D102="","",$C$3+SUM(D$13:D102))</f>
        <v/>
      </c>
      <c r="G102" s="16" t="str">
        <f>IF(D102="","",F102*$C$4)</f>
        <v/>
      </c>
      <c r="H102" s="18" t="str">
        <f t="shared" si="5"/>
        <v/>
      </c>
      <c r="I102" s="10" t="str">
        <f>IF(D102="","",IF(H102&gt;=$C$5,"✔","✘"))</f>
        <v/>
      </c>
      <c r="J102" s="17">
        <f>K101*$C$5</f>
        <v>9622.29065323635</v>
      </c>
      <c r="K102" s="17">
        <f t="shared" si="7"/>
        <v>202068.103717963</v>
      </c>
      <c r="L102" s="16">
        <f>K102*$C$4</f>
        <v>36170190.5655154</v>
      </c>
      <c r="M102" s="19"/>
    </row>
    <row r="103" spans="1:13">
      <c r="A103" s="10">
        <v>91</v>
      </c>
      <c r="B103" s="11">
        <f t="shared" si="6"/>
        <v>46422</v>
      </c>
      <c r="C103" s="10" t="str">
        <f t="shared" si="4"/>
        <v>Kamis</v>
      </c>
      <c r="D103" s="12"/>
      <c r="E103" s="16" t="str">
        <f>IF(D103="","",D103*$C$4)</f>
        <v/>
      </c>
      <c r="F103" s="17" t="str">
        <f>IF(D103="","",$C$3+SUM(D$13:D103))</f>
        <v/>
      </c>
      <c r="G103" s="16" t="str">
        <f>IF(D103="","",F103*$C$4)</f>
        <v/>
      </c>
      <c r="H103" s="18" t="str">
        <f t="shared" si="5"/>
        <v/>
      </c>
      <c r="I103" s="10" t="str">
        <f>IF(D103="","",IF(H103&gt;=$C$5,"✔","✘"))</f>
        <v/>
      </c>
      <c r="J103" s="17">
        <f>K102*$C$5</f>
        <v>10103.4051858982</v>
      </c>
      <c r="K103" s="17">
        <f t="shared" si="7"/>
        <v>212171.508903862</v>
      </c>
      <c r="L103" s="16">
        <f>K103*$C$4</f>
        <v>37978700.0937912</v>
      </c>
      <c r="M103" s="19"/>
    </row>
    <row r="104" spans="1:13">
      <c r="A104" s="10">
        <v>92</v>
      </c>
      <c r="B104" s="11">
        <f t="shared" si="6"/>
        <v>46423</v>
      </c>
      <c r="C104" s="10" t="str">
        <f t="shared" si="4"/>
        <v>Jumat</v>
      </c>
      <c r="D104" s="12"/>
      <c r="E104" s="16" t="str">
        <f>IF(D104="","",D104*$C$4)</f>
        <v/>
      </c>
      <c r="F104" s="17" t="str">
        <f>IF(D104="","",$C$3+SUM(D$13:D104))</f>
        <v/>
      </c>
      <c r="G104" s="16" t="str">
        <f>IF(D104="","",F104*$C$4)</f>
        <v/>
      </c>
      <c r="H104" s="18" t="str">
        <f t="shared" si="5"/>
        <v/>
      </c>
      <c r="I104" s="10" t="str">
        <f>IF(D104="","",IF(H104&gt;=$C$5,"✔","✘"))</f>
        <v/>
      </c>
      <c r="J104" s="17">
        <f>K103*$C$5</f>
        <v>10608.5754451931</v>
      </c>
      <c r="K104" s="17">
        <f t="shared" si="7"/>
        <v>222780.084349055</v>
      </c>
      <c r="L104" s="16">
        <f>K104*$C$4</f>
        <v>39877635.0984808</v>
      </c>
      <c r="M104" s="19"/>
    </row>
    <row r="105" spans="1:13">
      <c r="A105" s="10">
        <v>93</v>
      </c>
      <c r="B105" s="11">
        <f t="shared" si="6"/>
        <v>46426</v>
      </c>
      <c r="C105" s="10" t="str">
        <f t="shared" si="4"/>
        <v>Senin</v>
      </c>
      <c r="D105" s="12"/>
      <c r="E105" s="16" t="str">
        <f>IF(D105="","",D105*$C$4)</f>
        <v/>
      </c>
      <c r="F105" s="17" t="str">
        <f>IF(D105="","",$C$3+SUM(D$13:D105))</f>
        <v/>
      </c>
      <c r="G105" s="16" t="str">
        <f>IF(D105="","",F105*$C$4)</f>
        <v/>
      </c>
      <c r="H105" s="18" t="str">
        <f t="shared" si="5"/>
        <v/>
      </c>
      <c r="I105" s="10" t="str">
        <f>IF(D105="","",IF(H105&gt;=$C$5,"✔","✘"))</f>
        <v/>
      </c>
      <c r="J105" s="17">
        <f>K104*$C$5</f>
        <v>11139.0042174527</v>
      </c>
      <c r="K105" s="17">
        <f t="shared" si="7"/>
        <v>233919.088566507</v>
      </c>
      <c r="L105" s="16">
        <f>K105*$C$4</f>
        <v>41871516.8534048</v>
      </c>
      <c r="M105" s="19"/>
    </row>
    <row r="106" spans="1:13">
      <c r="A106" s="10">
        <v>94</v>
      </c>
      <c r="B106" s="11">
        <f t="shared" si="6"/>
        <v>46427</v>
      </c>
      <c r="C106" s="10" t="str">
        <f t="shared" si="4"/>
        <v>Selasa</v>
      </c>
      <c r="D106" s="12"/>
      <c r="E106" s="16" t="str">
        <f>IF(D106="","",D106*$C$4)</f>
        <v/>
      </c>
      <c r="F106" s="17" t="str">
        <f>IF(D106="","",$C$3+SUM(D$13:D106))</f>
        <v/>
      </c>
      <c r="G106" s="16" t="str">
        <f>IF(D106="","",F106*$C$4)</f>
        <v/>
      </c>
      <c r="H106" s="18" t="str">
        <f t="shared" si="5"/>
        <v/>
      </c>
      <c r="I106" s="10" t="str">
        <f>IF(D106="","",IF(H106&gt;=$C$5,"✔","✘"))</f>
        <v/>
      </c>
      <c r="J106" s="17">
        <f>K105*$C$5</f>
        <v>11695.9544283254</v>
      </c>
      <c r="K106" s="17">
        <f t="shared" si="7"/>
        <v>245615.042994833</v>
      </c>
      <c r="L106" s="16">
        <f>K106*$C$4</f>
        <v>43965092.6960751</v>
      </c>
      <c r="M106" s="19"/>
    </row>
    <row r="107" spans="1:13">
      <c r="A107" s="10">
        <v>95</v>
      </c>
      <c r="B107" s="11">
        <f t="shared" si="6"/>
        <v>46428</v>
      </c>
      <c r="C107" s="10" t="str">
        <f t="shared" si="4"/>
        <v>Rabu</v>
      </c>
      <c r="D107" s="12"/>
      <c r="E107" s="16" t="str">
        <f>IF(D107="","",D107*$C$4)</f>
        <v/>
      </c>
      <c r="F107" s="17" t="str">
        <f>IF(D107="","",$C$3+SUM(D$13:D107))</f>
        <v/>
      </c>
      <c r="G107" s="16" t="str">
        <f>IF(D107="","",F107*$C$4)</f>
        <v/>
      </c>
      <c r="H107" s="18" t="str">
        <f t="shared" si="5"/>
        <v/>
      </c>
      <c r="I107" s="10" t="str">
        <f>IF(D107="","",IF(H107&gt;=$C$5,"✔","✘"))</f>
        <v/>
      </c>
      <c r="J107" s="17">
        <f>K106*$C$5</f>
        <v>12280.7521497416</v>
      </c>
      <c r="K107" s="17">
        <f t="shared" si="7"/>
        <v>257895.795144574</v>
      </c>
      <c r="L107" s="16">
        <f>K107*$C$4</f>
        <v>46163347.3308788</v>
      </c>
      <c r="M107" s="19"/>
    </row>
    <row r="108" spans="1:13">
      <c r="A108" s="10">
        <v>96</v>
      </c>
      <c r="B108" s="11">
        <f t="shared" si="6"/>
        <v>46429</v>
      </c>
      <c r="C108" s="10" t="str">
        <f t="shared" si="4"/>
        <v>Kamis</v>
      </c>
      <c r="D108" s="12"/>
      <c r="E108" s="16" t="str">
        <f>IF(D108="","",D108*$C$4)</f>
        <v/>
      </c>
      <c r="F108" s="17" t="str">
        <f>IF(D108="","",$C$3+SUM(D$13:D108))</f>
        <v/>
      </c>
      <c r="G108" s="16" t="str">
        <f>IF(D108="","",F108*$C$4)</f>
        <v/>
      </c>
      <c r="H108" s="18" t="str">
        <f t="shared" si="5"/>
        <v/>
      </c>
      <c r="I108" s="10" t="str">
        <f>IF(D108="","",IF(H108&gt;=$C$5,"✔","✘"))</f>
        <v/>
      </c>
      <c r="J108" s="17">
        <f>K107*$C$5</f>
        <v>12894.7897572287</v>
      </c>
      <c r="K108" s="17">
        <f t="shared" si="7"/>
        <v>270790.584901803</v>
      </c>
      <c r="L108" s="16">
        <f>K108*$C$4</f>
        <v>48471514.6974228</v>
      </c>
      <c r="M108" s="19"/>
    </row>
    <row r="109" spans="1:13">
      <c r="A109" s="10">
        <v>97</v>
      </c>
      <c r="B109" s="11">
        <f t="shared" si="6"/>
        <v>46430</v>
      </c>
      <c r="C109" s="10" t="str">
        <f t="shared" si="4"/>
        <v>Jumat</v>
      </c>
      <c r="D109" s="12"/>
      <c r="E109" s="16" t="str">
        <f>IF(D109="","",D109*$C$4)</f>
        <v/>
      </c>
      <c r="F109" s="17" t="str">
        <f>IF(D109="","",$C$3+SUM(D$13:D109))</f>
        <v/>
      </c>
      <c r="G109" s="16" t="str">
        <f>IF(D109="","",F109*$C$4)</f>
        <v/>
      </c>
      <c r="H109" s="18" t="str">
        <f t="shared" si="5"/>
        <v/>
      </c>
      <c r="I109" s="10" t="str">
        <f>IF(D109="","",IF(H109&gt;=$C$5,"✔","✘"))</f>
        <v/>
      </c>
      <c r="J109" s="17">
        <f>K108*$C$5</f>
        <v>13539.5292450902</v>
      </c>
      <c r="K109" s="17">
        <f t="shared" si="7"/>
        <v>284330.114146893</v>
      </c>
      <c r="L109" s="16">
        <f>K109*$C$4</f>
        <v>50895090.4322939</v>
      </c>
      <c r="M109" s="19"/>
    </row>
    <row r="110" spans="1:13">
      <c r="A110" s="10">
        <v>98</v>
      </c>
      <c r="B110" s="11">
        <f t="shared" si="6"/>
        <v>46433</v>
      </c>
      <c r="C110" s="10" t="str">
        <f t="shared" si="4"/>
        <v>Senin</v>
      </c>
      <c r="D110" s="12"/>
      <c r="E110" s="16" t="str">
        <f>IF(D110="","",D110*$C$4)</f>
        <v/>
      </c>
      <c r="F110" s="17" t="str">
        <f>IF(D110="","",$C$3+SUM(D$13:D110))</f>
        <v/>
      </c>
      <c r="G110" s="16" t="str">
        <f>IF(D110="","",F110*$C$4)</f>
        <v/>
      </c>
      <c r="H110" s="18" t="str">
        <f t="shared" si="5"/>
        <v/>
      </c>
      <c r="I110" s="10" t="str">
        <f>IF(D110="","",IF(H110&gt;=$C$5,"✔","✘"))</f>
        <v/>
      </c>
      <c r="J110" s="17">
        <f>K109*$C$5</f>
        <v>14216.5057073447</v>
      </c>
      <c r="K110" s="17">
        <f t="shared" si="7"/>
        <v>298546.619854238</v>
      </c>
      <c r="L110" s="16">
        <f>K110*$C$4</f>
        <v>53439844.9539086</v>
      </c>
      <c r="M110" s="19"/>
    </row>
    <row r="111" spans="1:13">
      <c r="A111" s="10">
        <v>99</v>
      </c>
      <c r="B111" s="11">
        <f t="shared" si="6"/>
        <v>46434</v>
      </c>
      <c r="C111" s="10" t="str">
        <f t="shared" si="4"/>
        <v>Selasa</v>
      </c>
      <c r="D111" s="12"/>
      <c r="E111" s="16" t="str">
        <f>IF(D111="","",D111*$C$4)</f>
        <v/>
      </c>
      <c r="F111" s="17" t="str">
        <f>IF(D111="","",$C$3+SUM(D$13:D111))</f>
        <v/>
      </c>
      <c r="G111" s="16" t="str">
        <f>IF(D111="","",F111*$C$4)</f>
        <v/>
      </c>
      <c r="H111" s="18" t="str">
        <f t="shared" si="5"/>
        <v/>
      </c>
      <c r="I111" s="10" t="str">
        <f>IF(D111="","",IF(H111&gt;=$C$5,"✔","✘"))</f>
        <v/>
      </c>
      <c r="J111" s="17">
        <f>K110*$C$5</f>
        <v>14927.3309927119</v>
      </c>
      <c r="K111" s="17">
        <f t="shared" si="7"/>
        <v>313473.95084695</v>
      </c>
      <c r="L111" s="16">
        <f>K111*$C$4</f>
        <v>56111837.201604</v>
      </c>
      <c r="M111" s="19"/>
    </row>
    <row r="112" spans="1:13">
      <c r="A112" s="10">
        <v>100</v>
      </c>
      <c r="B112" s="11">
        <f t="shared" si="6"/>
        <v>46435</v>
      </c>
      <c r="C112" s="10" t="str">
        <f t="shared" si="4"/>
        <v>Rabu</v>
      </c>
      <c r="D112" s="12"/>
      <c r="E112" s="16" t="str">
        <f>IF(D112="","",D112*$C$4)</f>
        <v/>
      </c>
      <c r="F112" s="17" t="str">
        <f>IF(D112="","",$C$3+SUM(D$13:D112))</f>
        <v/>
      </c>
      <c r="G112" s="16" t="str">
        <f>IF(D112="","",F112*$C$4)</f>
        <v/>
      </c>
      <c r="H112" s="18" t="str">
        <f t="shared" si="5"/>
        <v/>
      </c>
      <c r="I112" s="10" t="str">
        <f>IF(D112="","",IF(H112&gt;=$C$5,"✔","✘"))</f>
        <v/>
      </c>
      <c r="J112" s="17">
        <f>K111*$C$5</f>
        <v>15673.6975423475</v>
      </c>
      <c r="K112" s="17">
        <f t="shared" si="7"/>
        <v>329147.648389297</v>
      </c>
      <c r="L112" s="16">
        <f>K112*$C$4</f>
        <v>58917429.0616842</v>
      </c>
      <c r="M112" s="19"/>
    </row>
    <row r="113" spans="1:13">
      <c r="A113" s="10">
        <v>101</v>
      </c>
      <c r="B113" s="11">
        <f t="shared" si="6"/>
        <v>46436</v>
      </c>
      <c r="C113" s="10" t="str">
        <f t="shared" si="4"/>
        <v>Kamis</v>
      </c>
      <c r="D113" s="12"/>
      <c r="E113" s="16" t="str">
        <f>IF(D113="","",D113*$C$4)</f>
        <v/>
      </c>
      <c r="F113" s="17" t="str">
        <f>IF(D113="","",$C$3+SUM(D$13:D113))</f>
        <v/>
      </c>
      <c r="G113" s="16" t="str">
        <f>IF(D113="","",F113*$C$4)</f>
        <v/>
      </c>
      <c r="H113" s="18" t="str">
        <f t="shared" si="5"/>
        <v/>
      </c>
      <c r="I113" s="10" t="str">
        <f>IF(D113="","",IF(H113&gt;=$C$5,"✔","✘"))</f>
        <v/>
      </c>
      <c r="J113" s="17">
        <f>K112*$C$5</f>
        <v>16457.3824194649</v>
      </c>
      <c r="K113" s="17">
        <f t="shared" si="7"/>
        <v>345605.030808762</v>
      </c>
      <c r="L113" s="16">
        <f>K113*$C$4</f>
        <v>61863300.5147684</v>
      </c>
      <c r="M113" s="19"/>
    </row>
    <row r="114" spans="1:13">
      <c r="A114" s="10">
        <v>102</v>
      </c>
      <c r="B114" s="11">
        <f t="shared" si="6"/>
        <v>46437</v>
      </c>
      <c r="C114" s="10" t="str">
        <f t="shared" si="4"/>
        <v>Jumat</v>
      </c>
      <c r="D114" s="12"/>
      <c r="E114" s="16" t="str">
        <f>IF(D114="","",D114*$C$4)</f>
        <v/>
      </c>
      <c r="F114" s="17" t="str">
        <f>IF(D114="","",$C$3+SUM(D$13:D114))</f>
        <v/>
      </c>
      <c r="G114" s="16" t="str">
        <f>IF(D114="","",F114*$C$4)</f>
        <v/>
      </c>
      <c r="H114" s="18" t="str">
        <f t="shared" si="5"/>
        <v/>
      </c>
      <c r="I114" s="10" t="str">
        <f>IF(D114="","",IF(H114&gt;=$C$5,"✔","✘"))</f>
        <v/>
      </c>
      <c r="J114" s="17">
        <f>K113*$C$5</f>
        <v>17280.2515404381</v>
      </c>
      <c r="K114" s="17">
        <f t="shared" si="7"/>
        <v>362885.2823492</v>
      </c>
      <c r="L114" s="16">
        <f>K114*$C$4</f>
        <v>64956465.5405068</v>
      </c>
      <c r="M114" s="19"/>
    </row>
    <row r="115" spans="1:13">
      <c r="A115" s="10">
        <v>103</v>
      </c>
      <c r="B115" s="11">
        <f t="shared" si="6"/>
        <v>46440</v>
      </c>
      <c r="C115" s="10" t="str">
        <f t="shared" si="4"/>
        <v>Senin</v>
      </c>
      <c r="D115" s="12"/>
      <c r="E115" s="16" t="str">
        <f>IF(D115="","",D115*$C$4)</f>
        <v/>
      </c>
      <c r="F115" s="17" t="str">
        <f>IF(D115="","",$C$3+SUM(D$13:D115))</f>
        <v/>
      </c>
      <c r="G115" s="16" t="str">
        <f>IF(D115="","",F115*$C$4)</f>
        <v/>
      </c>
      <c r="H115" s="18" t="str">
        <f t="shared" si="5"/>
        <v/>
      </c>
      <c r="I115" s="10" t="str">
        <f>IF(D115="","",IF(H115&gt;=$C$5,"✔","✘"))</f>
        <v/>
      </c>
      <c r="J115" s="17">
        <f>K114*$C$5</f>
        <v>18144.26411746</v>
      </c>
      <c r="K115" s="17">
        <f t="shared" si="7"/>
        <v>381029.54646666</v>
      </c>
      <c r="L115" s="16">
        <f>K115*$C$4</f>
        <v>68204288.8175322</v>
      </c>
      <c r="M115" s="19"/>
    </row>
    <row r="116" spans="1:13">
      <c r="A116" s="10">
        <v>104</v>
      </c>
      <c r="B116" s="11">
        <f t="shared" si="6"/>
        <v>46441</v>
      </c>
      <c r="C116" s="10" t="str">
        <f t="shared" si="4"/>
        <v>Selasa</v>
      </c>
      <c r="D116" s="12"/>
      <c r="E116" s="16" t="str">
        <f>IF(D116="","",D116*$C$4)</f>
        <v/>
      </c>
      <c r="F116" s="17" t="str">
        <f>IF(D116="","",$C$3+SUM(D$13:D116))</f>
        <v/>
      </c>
      <c r="G116" s="16" t="str">
        <f>IF(D116="","",F116*$C$4)</f>
        <v/>
      </c>
      <c r="H116" s="18" t="str">
        <f t="shared" si="5"/>
        <v/>
      </c>
      <c r="I116" s="10" t="str">
        <f>IF(D116="","",IF(H116&gt;=$C$5,"✔","✘"))</f>
        <v/>
      </c>
      <c r="J116" s="17">
        <f>K115*$C$5</f>
        <v>19051.477323333</v>
      </c>
      <c r="K116" s="17">
        <f t="shared" si="7"/>
        <v>400081.023789993</v>
      </c>
      <c r="L116" s="16">
        <f>K116*$C$4</f>
        <v>71614503.2584088</v>
      </c>
      <c r="M116" s="19"/>
    </row>
    <row r="117" spans="1:13">
      <c r="A117" s="10">
        <v>105</v>
      </c>
      <c r="B117" s="11">
        <f t="shared" si="6"/>
        <v>46442</v>
      </c>
      <c r="C117" s="10" t="str">
        <f t="shared" si="4"/>
        <v>Rabu</v>
      </c>
      <c r="D117" s="12"/>
      <c r="E117" s="16" t="str">
        <f>IF(D117="","",D117*$C$4)</f>
        <v/>
      </c>
      <c r="F117" s="17" t="str">
        <f>IF(D117="","",$C$3+SUM(D$13:D117))</f>
        <v/>
      </c>
      <c r="G117" s="16" t="str">
        <f>IF(D117="","",F117*$C$4)</f>
        <v/>
      </c>
      <c r="H117" s="18" t="str">
        <f t="shared" si="5"/>
        <v/>
      </c>
      <c r="I117" s="10" t="str">
        <f>IF(D117="","",IF(H117&gt;=$C$5,"✔","✘"))</f>
        <v/>
      </c>
      <c r="J117" s="17">
        <f>K116*$C$5</f>
        <v>20004.0511894997</v>
      </c>
      <c r="K117" s="17">
        <f t="shared" si="7"/>
        <v>420085.074979493</v>
      </c>
      <c r="L117" s="16">
        <f>K117*$C$4</f>
        <v>75195228.4213292</v>
      </c>
      <c r="M117" s="19"/>
    </row>
    <row r="118" spans="1:13">
      <c r="A118" s="10">
        <v>106</v>
      </c>
      <c r="B118" s="11">
        <f t="shared" si="6"/>
        <v>46443</v>
      </c>
      <c r="C118" s="10" t="str">
        <f t="shared" si="4"/>
        <v>Kamis</v>
      </c>
      <c r="D118" s="12"/>
      <c r="E118" s="16" t="str">
        <f>IF(D118="","",D118*$C$4)</f>
        <v/>
      </c>
      <c r="F118" s="17" t="str">
        <f>IF(D118="","",$C$3+SUM(D$13:D118))</f>
        <v/>
      </c>
      <c r="G118" s="16" t="str">
        <f>IF(D118="","",F118*$C$4)</f>
        <v/>
      </c>
      <c r="H118" s="18" t="str">
        <f t="shared" si="5"/>
        <v/>
      </c>
      <c r="I118" s="10" t="str">
        <f>IF(D118="","",IF(H118&gt;=$C$5,"✔","✘"))</f>
        <v/>
      </c>
      <c r="J118" s="17">
        <f>K117*$C$5</f>
        <v>21004.2537489747</v>
      </c>
      <c r="K118" s="17">
        <f t="shared" si="7"/>
        <v>441089.328728468</v>
      </c>
      <c r="L118" s="16">
        <f>K118*$C$4</f>
        <v>78954989.8423957</v>
      </c>
      <c r="M118" s="19"/>
    </row>
    <row r="119" spans="1:13">
      <c r="A119" s="10">
        <v>107</v>
      </c>
      <c r="B119" s="11">
        <f t="shared" si="6"/>
        <v>46444</v>
      </c>
      <c r="C119" s="10" t="str">
        <f t="shared" si="4"/>
        <v>Jumat</v>
      </c>
      <c r="D119" s="12"/>
      <c r="E119" s="16" t="str">
        <f>IF(D119="","",D119*$C$4)</f>
        <v/>
      </c>
      <c r="F119" s="17" t="str">
        <f>IF(D119="","",$C$3+SUM(D$13:D119))</f>
        <v/>
      </c>
      <c r="G119" s="16" t="str">
        <f>IF(D119="","",F119*$C$4)</f>
        <v/>
      </c>
      <c r="H119" s="18" t="str">
        <f t="shared" si="5"/>
        <v/>
      </c>
      <c r="I119" s="10" t="str">
        <f>IF(D119="","",IF(H119&gt;=$C$5,"✔","✘"))</f>
        <v/>
      </c>
      <c r="J119" s="17">
        <f>K118*$C$5</f>
        <v>22054.4664364234</v>
      </c>
      <c r="K119" s="17">
        <f t="shared" si="7"/>
        <v>463143.795164891</v>
      </c>
      <c r="L119" s="16">
        <f>K119*$C$4</f>
        <v>82902739.3345155</v>
      </c>
      <c r="M119" s="19"/>
    </row>
    <row r="120" spans="1:13">
      <c r="A120" s="10">
        <v>108</v>
      </c>
      <c r="B120" s="11">
        <f t="shared" si="6"/>
        <v>46447</v>
      </c>
      <c r="C120" s="10" t="str">
        <f t="shared" si="4"/>
        <v>Senin</v>
      </c>
      <c r="D120" s="12"/>
      <c r="E120" s="16" t="str">
        <f>IF(D120="","",D120*$C$4)</f>
        <v/>
      </c>
      <c r="F120" s="17" t="str">
        <f>IF(D120="","",$C$3+SUM(D$13:D120))</f>
        <v/>
      </c>
      <c r="G120" s="16" t="str">
        <f>IF(D120="","",F120*$C$4)</f>
        <v/>
      </c>
      <c r="H120" s="18" t="str">
        <f t="shared" si="5"/>
        <v/>
      </c>
      <c r="I120" s="10" t="str">
        <f>IF(D120="","",IF(H120&gt;=$C$5,"✔","✘"))</f>
        <v/>
      </c>
      <c r="J120" s="17">
        <f>K119*$C$5</f>
        <v>23157.1897582446</v>
      </c>
      <c r="K120" s="17">
        <f t="shared" si="7"/>
        <v>486300.984923136</v>
      </c>
      <c r="L120" s="16">
        <f>K120*$C$4</f>
        <v>87047876.3012413</v>
      </c>
      <c r="M120" s="19"/>
    </row>
    <row r="121" spans="1:13">
      <c r="A121" s="10">
        <v>109</v>
      </c>
      <c r="B121" s="11">
        <f t="shared" si="6"/>
        <v>46448</v>
      </c>
      <c r="C121" s="10" t="str">
        <f t="shared" si="4"/>
        <v>Selasa</v>
      </c>
      <c r="D121" s="12"/>
      <c r="E121" s="16" t="str">
        <f>IF(D121="","",D121*$C$4)</f>
        <v/>
      </c>
      <c r="F121" s="17" t="str">
        <f>IF(D121="","",$C$3+SUM(D$13:D121))</f>
        <v/>
      </c>
      <c r="G121" s="16" t="str">
        <f>IF(D121="","",F121*$C$4)</f>
        <v/>
      </c>
      <c r="H121" s="18" t="str">
        <f t="shared" si="5"/>
        <v/>
      </c>
      <c r="I121" s="10" t="str">
        <f>IF(D121="","",IF(H121&gt;=$C$5,"✔","✘"))</f>
        <v/>
      </c>
      <c r="J121" s="17">
        <f>K120*$C$5</f>
        <v>24315.0492461568</v>
      </c>
      <c r="K121" s="17">
        <f t="shared" si="7"/>
        <v>510616.034169292</v>
      </c>
      <c r="L121" s="16">
        <f>K121*$C$4</f>
        <v>91400270.1163033</v>
      </c>
      <c r="M121" s="19"/>
    </row>
    <row r="122" spans="1:13">
      <c r="A122" s="10">
        <v>110</v>
      </c>
      <c r="B122" s="11">
        <f t="shared" si="6"/>
        <v>46449</v>
      </c>
      <c r="C122" s="10" t="str">
        <f t="shared" si="4"/>
        <v>Rabu</v>
      </c>
      <c r="D122" s="12"/>
      <c r="E122" s="16" t="str">
        <f>IF(D122="","",D122*$C$4)</f>
        <v/>
      </c>
      <c r="F122" s="17" t="str">
        <f>IF(D122="","",$C$3+SUM(D$13:D122))</f>
        <v/>
      </c>
      <c r="G122" s="16" t="str">
        <f>IF(D122="","",F122*$C$4)</f>
        <v/>
      </c>
      <c r="H122" s="18" t="str">
        <f t="shared" si="5"/>
        <v/>
      </c>
      <c r="I122" s="10" t="str">
        <f>IF(D122="","",IF(H122&gt;=$C$5,"✔","✘"))</f>
        <v/>
      </c>
      <c r="J122" s="17">
        <f>K121*$C$5</f>
        <v>25530.8017084646</v>
      </c>
      <c r="K122" s="17">
        <f t="shared" si="7"/>
        <v>536146.835877757</v>
      </c>
      <c r="L122" s="16">
        <f>K122*$C$4</f>
        <v>95970283.6221185</v>
      </c>
      <c r="M122" s="19"/>
    </row>
    <row r="123" spans="1:13">
      <c r="A123" s="10">
        <v>111</v>
      </c>
      <c r="B123" s="11">
        <f t="shared" si="6"/>
        <v>46450</v>
      </c>
      <c r="C123" s="10" t="str">
        <f t="shared" si="4"/>
        <v>Kamis</v>
      </c>
      <c r="D123" s="12"/>
      <c r="E123" s="16" t="str">
        <f>IF(D123="","",D123*$C$4)</f>
        <v/>
      </c>
      <c r="F123" s="17" t="str">
        <f>IF(D123="","",$C$3+SUM(D$13:D123))</f>
        <v/>
      </c>
      <c r="G123" s="16" t="str">
        <f>IF(D123="","",F123*$C$4)</f>
        <v/>
      </c>
      <c r="H123" s="18" t="str">
        <f t="shared" si="5"/>
        <v/>
      </c>
      <c r="I123" s="10" t="str">
        <f>IF(D123="","",IF(H123&gt;=$C$5,"✔","✘"))</f>
        <v/>
      </c>
      <c r="J123" s="17">
        <f>K122*$C$5</f>
        <v>26807.3417938878</v>
      </c>
      <c r="K123" s="17">
        <f t="shared" si="7"/>
        <v>562954.177671645</v>
      </c>
      <c r="L123" s="16">
        <f>K123*$C$4</f>
        <v>100768797.803224</v>
      </c>
      <c r="M123" s="19"/>
    </row>
    <row r="124" spans="1:13">
      <c r="A124" s="10">
        <v>112</v>
      </c>
      <c r="B124" s="11">
        <f t="shared" si="6"/>
        <v>46451</v>
      </c>
      <c r="C124" s="10" t="str">
        <f t="shared" si="4"/>
        <v>Jumat</v>
      </c>
      <c r="D124" s="12"/>
      <c r="E124" s="16" t="str">
        <f>IF(D124="","",D124*$C$4)</f>
        <v/>
      </c>
      <c r="F124" s="17" t="str">
        <f>IF(D124="","",$C$3+SUM(D$13:D124))</f>
        <v/>
      </c>
      <c r="G124" s="16" t="str">
        <f>IF(D124="","",F124*$C$4)</f>
        <v/>
      </c>
      <c r="H124" s="18" t="str">
        <f t="shared" si="5"/>
        <v/>
      </c>
      <c r="I124" s="10" t="str">
        <f>IF(D124="","",IF(H124&gt;=$C$5,"✔","✘"))</f>
        <v/>
      </c>
      <c r="J124" s="17">
        <f>K123*$C$5</f>
        <v>28147.7088835822</v>
      </c>
      <c r="K124" s="17">
        <f t="shared" si="7"/>
        <v>591101.886555227</v>
      </c>
      <c r="L124" s="16">
        <f>K124*$C$4</f>
        <v>105807237.693386</v>
      </c>
      <c r="M124" s="19"/>
    </row>
    <row r="125" spans="1:13">
      <c r="A125" s="10">
        <v>113</v>
      </c>
      <c r="B125" s="11">
        <f t="shared" si="6"/>
        <v>46454</v>
      </c>
      <c r="C125" s="10" t="str">
        <f t="shared" si="4"/>
        <v>Senin</v>
      </c>
      <c r="D125" s="12"/>
      <c r="E125" s="16" t="str">
        <f>IF(D125="","",D125*$C$4)</f>
        <v/>
      </c>
      <c r="F125" s="17" t="str">
        <f>IF(D125="","",$C$3+SUM(D$13:D125))</f>
        <v/>
      </c>
      <c r="G125" s="16" t="str">
        <f>IF(D125="","",F125*$C$4)</f>
        <v/>
      </c>
      <c r="H125" s="18" t="str">
        <f t="shared" si="5"/>
        <v/>
      </c>
      <c r="I125" s="10" t="str">
        <f>IF(D125="","",IF(H125&gt;=$C$5,"✔","✘"))</f>
        <v/>
      </c>
      <c r="J125" s="17">
        <f>K124*$C$5</f>
        <v>29555.0943277614</v>
      </c>
      <c r="K125" s="17">
        <f t="shared" si="7"/>
        <v>620656.980882988</v>
      </c>
      <c r="L125" s="16">
        <f>K125*$C$4</f>
        <v>111097599.578055</v>
      </c>
      <c r="M125" s="19"/>
    </row>
    <row r="126" spans="1:13">
      <c r="A126" s="10">
        <v>114</v>
      </c>
      <c r="B126" s="11">
        <f t="shared" si="6"/>
        <v>46455</v>
      </c>
      <c r="C126" s="10" t="str">
        <f t="shared" si="4"/>
        <v>Selasa</v>
      </c>
      <c r="D126" s="12"/>
      <c r="E126" s="16" t="str">
        <f>IF(D126="","",D126*$C$4)</f>
        <v/>
      </c>
      <c r="F126" s="17" t="str">
        <f>IF(D126="","",$C$3+SUM(D$13:D126))</f>
        <v/>
      </c>
      <c r="G126" s="16" t="str">
        <f>IF(D126="","",F126*$C$4)</f>
        <v/>
      </c>
      <c r="H126" s="18" t="str">
        <f t="shared" si="5"/>
        <v/>
      </c>
      <c r="I126" s="10" t="str">
        <f>IF(D126="","",IF(H126&gt;=$C$5,"✔","✘"))</f>
        <v/>
      </c>
      <c r="J126" s="17">
        <f>K125*$C$5</f>
        <v>31032.8490441494</v>
      </c>
      <c r="K126" s="17">
        <f t="shared" si="7"/>
        <v>651689.829927138</v>
      </c>
      <c r="L126" s="16">
        <f>K126*$C$4</f>
        <v>116652479.556958</v>
      </c>
      <c r="M126" s="19"/>
    </row>
    <row r="127" spans="1:13">
      <c r="A127" s="10">
        <v>115</v>
      </c>
      <c r="B127" s="11">
        <f t="shared" si="6"/>
        <v>46456</v>
      </c>
      <c r="C127" s="10" t="str">
        <f t="shared" si="4"/>
        <v>Rabu</v>
      </c>
      <c r="D127" s="12"/>
      <c r="E127" s="16" t="str">
        <f>IF(D127="","",D127*$C$4)</f>
        <v/>
      </c>
      <c r="F127" s="17" t="str">
        <f>IF(D127="","",$C$3+SUM(D$13:D127))</f>
        <v/>
      </c>
      <c r="G127" s="16" t="str">
        <f>IF(D127="","",F127*$C$4)</f>
        <v/>
      </c>
      <c r="H127" s="18" t="str">
        <f t="shared" si="5"/>
        <v/>
      </c>
      <c r="I127" s="10" t="str">
        <f>IF(D127="","",IF(H127&gt;=$C$5,"✔","✘"))</f>
        <v/>
      </c>
      <c r="J127" s="17">
        <f>K126*$C$5</f>
        <v>32584.4914963569</v>
      </c>
      <c r="K127" s="17">
        <f t="shared" si="7"/>
        <v>684274.321423495</v>
      </c>
      <c r="L127" s="16">
        <f>K127*$C$4</f>
        <v>122485103.534806</v>
      </c>
      <c r="M127" s="19"/>
    </row>
    <row r="128" spans="1:13">
      <c r="A128" s="10">
        <v>116</v>
      </c>
      <c r="B128" s="11">
        <f t="shared" si="6"/>
        <v>46457</v>
      </c>
      <c r="C128" s="10" t="str">
        <f t="shared" si="4"/>
        <v>Kamis</v>
      </c>
      <c r="D128" s="12"/>
      <c r="E128" s="16" t="str">
        <f>IF(D128="","",D128*$C$4)</f>
        <v/>
      </c>
      <c r="F128" s="17" t="str">
        <f>IF(D128="","",$C$3+SUM(D$13:D128))</f>
        <v/>
      </c>
      <c r="G128" s="16" t="str">
        <f>IF(D128="","",F128*$C$4)</f>
        <v/>
      </c>
      <c r="H128" s="18" t="str">
        <f t="shared" si="5"/>
        <v/>
      </c>
      <c r="I128" s="10" t="str">
        <f>IF(D128="","",IF(H128&gt;=$C$5,"✔","✘"))</f>
        <v/>
      </c>
      <c r="J128" s="17">
        <f>K127*$C$5</f>
        <v>34213.7160711747</v>
      </c>
      <c r="K128" s="17">
        <f t="shared" si="7"/>
        <v>718488.037494669</v>
      </c>
      <c r="L128" s="16">
        <f>K128*$C$4</f>
        <v>128609358.711546</v>
      </c>
      <c r="M128" s="19"/>
    </row>
    <row r="129" spans="1:13">
      <c r="A129" s="10">
        <v>117</v>
      </c>
      <c r="B129" s="11">
        <f t="shared" si="6"/>
        <v>46458</v>
      </c>
      <c r="C129" s="10" t="str">
        <f t="shared" si="4"/>
        <v>Jumat</v>
      </c>
      <c r="D129" s="12"/>
      <c r="E129" s="16" t="str">
        <f>IF(D129="","",D129*$C$4)</f>
        <v/>
      </c>
      <c r="F129" s="17" t="str">
        <f>IF(D129="","",$C$3+SUM(D$13:D129))</f>
        <v/>
      </c>
      <c r="G129" s="16" t="str">
        <f>IF(D129="","",F129*$C$4)</f>
        <v/>
      </c>
      <c r="H129" s="18" t="str">
        <f t="shared" si="5"/>
        <v/>
      </c>
      <c r="I129" s="10" t="str">
        <f>IF(D129="","",IF(H129&gt;=$C$5,"✔","✘"))</f>
        <v/>
      </c>
      <c r="J129" s="17">
        <f>K128*$C$5</f>
        <v>35924.4018747335</v>
      </c>
      <c r="K129" s="17">
        <f t="shared" si="7"/>
        <v>754412.439369403</v>
      </c>
      <c r="L129" s="16">
        <f>K129*$C$4</f>
        <v>135039826.647123</v>
      </c>
      <c r="M129" s="19"/>
    </row>
    <row r="130" spans="1:13">
      <c r="A130" s="10">
        <v>118</v>
      </c>
      <c r="B130" s="11">
        <f t="shared" si="6"/>
        <v>46461</v>
      </c>
      <c r="C130" s="10" t="str">
        <f t="shared" si="4"/>
        <v>Senin</v>
      </c>
      <c r="D130" s="12"/>
      <c r="E130" s="16" t="str">
        <f>IF(D130="","",D130*$C$4)</f>
        <v/>
      </c>
      <c r="F130" s="17" t="str">
        <f>IF(D130="","",$C$3+SUM(D$13:D130))</f>
        <v/>
      </c>
      <c r="G130" s="16" t="str">
        <f>IF(D130="","",F130*$C$4)</f>
        <v/>
      </c>
      <c r="H130" s="18" t="str">
        <f t="shared" si="5"/>
        <v/>
      </c>
      <c r="I130" s="10" t="str">
        <f>IF(D130="","",IF(H130&gt;=$C$5,"✔","✘"))</f>
        <v/>
      </c>
      <c r="J130" s="17">
        <f>K129*$C$5</f>
        <v>37720.6219684702</v>
      </c>
      <c r="K130" s="17">
        <f t="shared" si="7"/>
        <v>792133.061337873</v>
      </c>
      <c r="L130" s="16">
        <f>K130*$C$4</f>
        <v>141791817.979479</v>
      </c>
      <c r="M130" s="19"/>
    </row>
    <row r="131" spans="1:13">
      <c r="A131" s="10">
        <v>119</v>
      </c>
      <c r="B131" s="11">
        <f t="shared" si="6"/>
        <v>46462</v>
      </c>
      <c r="C131" s="10" t="str">
        <f t="shared" si="4"/>
        <v>Selasa</v>
      </c>
      <c r="D131" s="12"/>
      <c r="E131" s="16" t="str">
        <f>IF(D131="","",D131*$C$4)</f>
        <v/>
      </c>
      <c r="F131" s="17" t="str">
        <f>IF(D131="","",$C$3+SUM(D$13:D131))</f>
        <v/>
      </c>
      <c r="G131" s="16" t="str">
        <f>IF(D131="","",F131*$C$4)</f>
        <v/>
      </c>
      <c r="H131" s="18" t="str">
        <f t="shared" si="5"/>
        <v/>
      </c>
      <c r="I131" s="10" t="str">
        <f>IF(D131="","",IF(H131&gt;=$C$5,"✔","✘"))</f>
        <v/>
      </c>
      <c r="J131" s="17">
        <f>K130*$C$5</f>
        <v>39606.6530668937</v>
      </c>
      <c r="K131" s="17">
        <f t="shared" si="7"/>
        <v>831739.714404767</v>
      </c>
      <c r="L131" s="16">
        <f>K131*$C$4</f>
        <v>148881408.878453</v>
      </c>
      <c r="M131" s="19"/>
    </row>
    <row r="132" spans="1:13">
      <c r="A132" s="10">
        <v>120</v>
      </c>
      <c r="B132" s="11">
        <f t="shared" si="6"/>
        <v>46463</v>
      </c>
      <c r="C132" s="10" t="str">
        <f t="shared" si="4"/>
        <v>Rabu</v>
      </c>
      <c r="D132" s="12"/>
      <c r="E132" s="16" t="str">
        <f>IF(D132="","",D132*$C$4)</f>
        <v/>
      </c>
      <c r="F132" s="17" t="str">
        <f>IF(D132="","",$C$3+SUM(D$13:D132))</f>
        <v/>
      </c>
      <c r="G132" s="16" t="str">
        <f>IF(D132="","",F132*$C$4)</f>
        <v/>
      </c>
      <c r="H132" s="18" t="str">
        <f t="shared" si="5"/>
        <v/>
      </c>
      <c r="I132" s="10" t="str">
        <f>IF(D132="","",IF(H132&gt;=$C$5,"✔","✘"))</f>
        <v/>
      </c>
      <c r="J132" s="17">
        <f>K131*$C$5</f>
        <v>41586.9857202383</v>
      </c>
      <c r="K132" s="17">
        <f t="shared" si="7"/>
        <v>873326.700125005</v>
      </c>
      <c r="L132" s="16">
        <f>K132*$C$4</f>
        <v>156325479.322376</v>
      </c>
      <c r="M132" s="19"/>
    </row>
    <row r="133" spans="1:13">
      <c r="A133" s="10">
        <v>121</v>
      </c>
      <c r="B133" s="11">
        <f t="shared" si="6"/>
        <v>46464</v>
      </c>
      <c r="C133" s="10" t="str">
        <f t="shared" si="4"/>
        <v>Kamis</v>
      </c>
      <c r="D133" s="12"/>
      <c r="E133" s="16" t="str">
        <f>IF(D133="","",D133*$C$4)</f>
        <v/>
      </c>
      <c r="F133" s="17" t="str">
        <f>IF(D133="","",$C$3+SUM(D$13:D133))</f>
        <v/>
      </c>
      <c r="G133" s="16" t="str">
        <f>IF(D133="","",F133*$C$4)</f>
        <v/>
      </c>
      <c r="H133" s="18" t="str">
        <f t="shared" si="5"/>
        <v/>
      </c>
      <c r="I133" s="10" t="str">
        <f>IF(D133="","",IF(H133&gt;=$C$5,"✔","✘"))</f>
        <v/>
      </c>
      <c r="J133" s="17">
        <f>K132*$C$5</f>
        <v>43666.3350062503</v>
      </c>
      <c r="K133" s="17">
        <f t="shared" si="7"/>
        <v>916993.035131255</v>
      </c>
      <c r="L133" s="16">
        <f>K133*$C$4</f>
        <v>164141753.288495</v>
      </c>
      <c r="M133" s="19"/>
    </row>
    <row r="134" spans="1:13">
      <c r="A134" s="10">
        <v>122</v>
      </c>
      <c r="B134" s="11">
        <f t="shared" si="6"/>
        <v>46465</v>
      </c>
      <c r="C134" s="10" t="str">
        <f t="shared" si="4"/>
        <v>Jumat</v>
      </c>
      <c r="D134" s="12"/>
      <c r="E134" s="16" t="str">
        <f>IF(D134="","",D134*$C$4)</f>
        <v/>
      </c>
      <c r="F134" s="17" t="str">
        <f>IF(D134="","",$C$3+SUM(D$13:D134))</f>
        <v/>
      </c>
      <c r="G134" s="16" t="str">
        <f>IF(D134="","",F134*$C$4)</f>
        <v/>
      </c>
      <c r="H134" s="18" t="str">
        <f t="shared" si="5"/>
        <v/>
      </c>
      <c r="I134" s="10" t="str">
        <f>IF(D134="","",IF(H134&gt;=$C$5,"✔","✘"))</f>
        <v/>
      </c>
      <c r="J134" s="17">
        <f>K133*$C$5</f>
        <v>45849.6517565628</v>
      </c>
      <c r="K134" s="17">
        <f t="shared" si="7"/>
        <v>962842.686887818</v>
      </c>
      <c r="L134" s="16">
        <f>K134*$C$4</f>
        <v>172348840.952919</v>
      </c>
      <c r="M134" s="19"/>
    </row>
    <row r="135" spans="1:13">
      <c r="A135" s="10">
        <v>123</v>
      </c>
      <c r="B135" s="11">
        <f t="shared" si="6"/>
        <v>46468</v>
      </c>
      <c r="C135" s="10" t="str">
        <f t="shared" si="4"/>
        <v>Senin</v>
      </c>
      <c r="D135" s="12"/>
      <c r="E135" s="16" t="str">
        <f>IF(D135="","",D135*$C$4)</f>
        <v/>
      </c>
      <c r="F135" s="17" t="str">
        <f>IF(D135="","",$C$3+SUM(D$13:D135))</f>
        <v/>
      </c>
      <c r="G135" s="16" t="str">
        <f>IF(D135="","",F135*$C$4)</f>
        <v/>
      </c>
      <c r="H135" s="18" t="str">
        <f t="shared" si="5"/>
        <v/>
      </c>
      <c r="I135" s="10" t="str">
        <f>IF(D135="","",IF(H135&gt;=$C$5,"✔","✘"))</f>
        <v/>
      </c>
      <c r="J135" s="17">
        <f>K134*$C$5</f>
        <v>48142.1343443909</v>
      </c>
      <c r="K135" s="17">
        <f t="shared" si="7"/>
        <v>1010984.82123221</v>
      </c>
      <c r="L135" s="16">
        <f>K135*$C$4</f>
        <v>180966283.000565</v>
      </c>
      <c r="M135" s="19"/>
    </row>
    <row r="136" spans="1:13">
      <c r="A136" s="10">
        <v>124</v>
      </c>
      <c r="B136" s="11">
        <f t="shared" si="6"/>
        <v>46469</v>
      </c>
      <c r="C136" s="10" t="str">
        <f t="shared" si="4"/>
        <v>Selasa</v>
      </c>
      <c r="D136" s="12"/>
      <c r="E136" s="16" t="str">
        <f>IF(D136="","",D136*$C$4)</f>
        <v/>
      </c>
      <c r="F136" s="17" t="str">
        <f>IF(D136="","",$C$3+SUM(D$13:D136))</f>
        <v/>
      </c>
      <c r="G136" s="16" t="str">
        <f>IF(D136="","",F136*$C$4)</f>
        <v/>
      </c>
      <c r="H136" s="18" t="str">
        <f t="shared" si="5"/>
        <v/>
      </c>
      <c r="I136" s="10" t="str">
        <f>IF(D136="","",IF(H136&gt;=$C$5,"✔","✘"))</f>
        <v/>
      </c>
      <c r="J136" s="17">
        <f>K135*$C$5</f>
        <v>50549.2410616105</v>
      </c>
      <c r="K136" s="17">
        <f t="shared" si="7"/>
        <v>1061534.06229382</v>
      </c>
      <c r="L136" s="16">
        <f>K136*$C$4</f>
        <v>190014597.150594</v>
      </c>
      <c r="M136" s="19"/>
    </row>
    <row r="137" spans="1:13">
      <c r="A137" s="10">
        <v>125</v>
      </c>
      <c r="B137" s="11">
        <f t="shared" si="6"/>
        <v>46470</v>
      </c>
      <c r="C137" s="10" t="str">
        <f t="shared" si="4"/>
        <v>Rabu</v>
      </c>
      <c r="D137" s="12"/>
      <c r="E137" s="16" t="str">
        <f>IF(D137="","",D137*$C$4)</f>
        <v/>
      </c>
      <c r="F137" s="17" t="str">
        <f>IF(D137="","",$C$3+SUM(D$13:D137))</f>
        <v/>
      </c>
      <c r="G137" s="16" t="str">
        <f>IF(D137="","",F137*$C$4)</f>
        <v/>
      </c>
      <c r="H137" s="18" t="str">
        <f t="shared" si="5"/>
        <v/>
      </c>
      <c r="I137" s="10" t="str">
        <f>IF(D137="","",IF(H137&gt;=$C$5,"✔","✘"))</f>
        <v/>
      </c>
      <c r="J137" s="17">
        <f>K136*$C$5</f>
        <v>53076.703114691</v>
      </c>
      <c r="K137" s="17">
        <f t="shared" si="7"/>
        <v>1114610.76540851</v>
      </c>
      <c r="L137" s="16">
        <f>K137*$C$4</f>
        <v>199515327.008123</v>
      </c>
      <c r="M137" s="19"/>
    </row>
    <row r="138" spans="1:13">
      <c r="A138" s="10">
        <v>126</v>
      </c>
      <c r="B138" s="11">
        <f t="shared" si="6"/>
        <v>46471</v>
      </c>
      <c r="C138" s="10" t="str">
        <f t="shared" si="4"/>
        <v>Kamis</v>
      </c>
      <c r="D138" s="12"/>
      <c r="E138" s="16" t="str">
        <f>IF(D138="","",D138*$C$4)</f>
        <v/>
      </c>
      <c r="F138" s="17" t="str">
        <f>IF(D138="","",$C$3+SUM(D$13:D138))</f>
        <v/>
      </c>
      <c r="G138" s="16" t="str">
        <f>IF(D138="","",F138*$C$4)</f>
        <v/>
      </c>
      <c r="H138" s="18" t="str">
        <f t="shared" si="5"/>
        <v/>
      </c>
      <c r="I138" s="10" t="str">
        <f>IF(D138="","",IF(H138&gt;=$C$5,"✔","✘"))</f>
        <v/>
      </c>
      <c r="J138" s="17">
        <f>K137*$C$5</f>
        <v>55730.5382704255</v>
      </c>
      <c r="K138" s="17">
        <f t="shared" si="7"/>
        <v>1170341.30367894</v>
      </c>
      <c r="L138" s="16">
        <f>K138*$C$4</f>
        <v>209491093.35853</v>
      </c>
      <c r="M138" s="19"/>
    </row>
    <row r="139" spans="1:13">
      <c r="A139" s="10">
        <v>127</v>
      </c>
      <c r="B139" s="11">
        <f t="shared" si="6"/>
        <v>46472</v>
      </c>
      <c r="C139" s="10" t="str">
        <f t="shared" si="4"/>
        <v>Jumat</v>
      </c>
      <c r="D139" s="12"/>
      <c r="E139" s="16" t="str">
        <f>IF(D139="","",D139*$C$4)</f>
        <v/>
      </c>
      <c r="F139" s="17" t="str">
        <f>IF(D139="","",$C$3+SUM(D$13:D139))</f>
        <v/>
      </c>
      <c r="G139" s="16" t="str">
        <f>IF(D139="","",F139*$C$4)</f>
        <v/>
      </c>
      <c r="H139" s="18" t="str">
        <f t="shared" si="5"/>
        <v/>
      </c>
      <c r="I139" s="10" t="str">
        <f>IF(D139="","",IF(H139&gt;=$C$5,"✔","✘"))</f>
        <v/>
      </c>
      <c r="J139" s="17">
        <f>K138*$C$5</f>
        <v>58517.0651839468</v>
      </c>
      <c r="K139" s="17">
        <f t="shared" si="7"/>
        <v>1228858.36886288</v>
      </c>
      <c r="L139" s="16">
        <f>K139*$C$4</f>
        <v>219965648.026456</v>
      </c>
      <c r="M139" s="19"/>
    </row>
    <row r="140" spans="1:13">
      <c r="A140" s="10">
        <v>128</v>
      </c>
      <c r="B140" s="11">
        <f t="shared" si="6"/>
        <v>46475</v>
      </c>
      <c r="C140" s="10" t="str">
        <f t="shared" si="4"/>
        <v>Senin</v>
      </c>
      <c r="D140" s="12"/>
      <c r="E140" s="16" t="str">
        <f>IF(D140="","",D140*$C$4)</f>
        <v/>
      </c>
      <c r="F140" s="17" t="str">
        <f>IF(D140="","",$C$3+SUM(D$13:D140))</f>
        <v/>
      </c>
      <c r="G140" s="16" t="str">
        <f>IF(D140="","",F140*$C$4)</f>
        <v/>
      </c>
      <c r="H140" s="18" t="str">
        <f t="shared" si="5"/>
        <v/>
      </c>
      <c r="I140" s="10" t="str">
        <f>IF(D140="","",IF(H140&gt;=$C$5,"✔","✘"))</f>
        <v/>
      </c>
      <c r="J140" s="17">
        <f>K139*$C$5</f>
        <v>61442.9184431442</v>
      </c>
      <c r="K140" s="17">
        <f t="shared" si="7"/>
        <v>1290301.28730603</v>
      </c>
      <c r="L140" s="16">
        <f>K140*$C$4</f>
        <v>230963930.427779</v>
      </c>
      <c r="M140" s="19"/>
    </row>
    <row r="141" spans="1:13">
      <c r="A141" s="10">
        <v>129</v>
      </c>
      <c r="B141" s="11">
        <f t="shared" si="6"/>
        <v>46476</v>
      </c>
      <c r="C141" s="10" t="str">
        <f>CHOOSE(WEEKDAY(B141,2),"Senin","Selasa","Rabu","Kamis","Jumat","Sabtu","Minggu")</f>
        <v>Selasa</v>
      </c>
      <c r="D141" s="12"/>
      <c r="E141" s="16" t="str">
        <f>IF(D141="","",D141*$C$4)</f>
        <v/>
      </c>
      <c r="F141" s="17" t="str">
        <f>IF(D141="","",$C$3+SUM(D$13:D141))</f>
        <v/>
      </c>
      <c r="G141" s="16" t="str">
        <f>IF(D141="","",F141*$C$4)</f>
        <v/>
      </c>
      <c r="H141" s="18" t="str">
        <f>IF(D141="","",D141/(F141-D141))</f>
        <v/>
      </c>
      <c r="I141" s="10" t="str">
        <f>IF(D141="","",IF(H141&gt;=$C$5,"✔","✘"))</f>
        <v/>
      </c>
      <c r="J141" s="17">
        <f>K140*$C$5</f>
        <v>64515.0643653014</v>
      </c>
      <c r="K141" s="17">
        <f t="shared" si="7"/>
        <v>1354816.35167133</v>
      </c>
      <c r="L141" s="16">
        <f>K141*$C$4</f>
        <v>242512126.949168</v>
      </c>
      <c r="M141" s="19"/>
    </row>
    <row r="142" spans="1:13">
      <c r="A142" s="10">
        <v>130</v>
      </c>
      <c r="B142" s="11">
        <f>WORKDAY(B141,1)</f>
        <v>46477</v>
      </c>
      <c r="C142" s="10" t="str">
        <f>CHOOSE(WEEKDAY(B142,2),"Senin","Selasa","Rabu","Kamis","Jumat","Sabtu","Minggu")</f>
        <v>Rabu</v>
      </c>
      <c r="D142" s="12"/>
      <c r="E142" s="16" t="str">
        <f>IF(D142="","",D142*$C$4)</f>
        <v/>
      </c>
      <c r="F142" s="17" t="str">
        <f>IF(D142="","",$C$3+SUM(D$13:D142))</f>
        <v/>
      </c>
      <c r="G142" s="16" t="str">
        <f>IF(D142="","",F142*$C$4)</f>
        <v/>
      </c>
      <c r="H142" s="18" t="str">
        <f>IF(D142="","",D142/(F142-D142))</f>
        <v/>
      </c>
      <c r="I142" s="10" t="str">
        <f>IF(D142="","",IF(H142&gt;=$C$5,"✔","✘"))</f>
        <v/>
      </c>
      <c r="J142" s="17">
        <f>K141*$C$5</f>
        <v>67740.8175835664</v>
      </c>
      <c r="K142" s="17">
        <f>K141+J142</f>
        <v>1422557.16925489</v>
      </c>
      <c r="L142" s="16">
        <f>K142*$C$4</f>
        <v>254637733.296626</v>
      </c>
      <c r="M142" s="19"/>
    </row>
    <row r="144" spans="1:13">
      <c r="A144" s="8" t="s">
        <v>29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</sheetData>
  <mergeCells count="21">
    <mergeCell ref="A1:M1"/>
    <mergeCell ref="A3:B3"/>
    <mergeCell ref="E3:G3"/>
    <mergeCell ref="H3:I3"/>
    <mergeCell ref="A4:B4"/>
    <mergeCell ref="E4:G4"/>
    <mergeCell ref="H4:I4"/>
    <mergeCell ref="A5:B5"/>
    <mergeCell ref="E5:G5"/>
    <mergeCell ref="H5:I5"/>
    <mergeCell ref="A6:B6"/>
    <mergeCell ref="E6:G6"/>
    <mergeCell ref="H6:I6"/>
    <mergeCell ref="A7:B7"/>
    <mergeCell ref="E7:G7"/>
    <mergeCell ref="H7:I7"/>
    <mergeCell ref="E8:G8"/>
    <mergeCell ref="H8:I8"/>
    <mergeCell ref="A10:M10"/>
    <mergeCell ref="A11:M11"/>
    <mergeCell ref="A144:M144"/>
  </mergeCells>
  <conditionalFormatting sqref="L13:L142">
    <cfRule type="expression" dxfId="0" priority="4">
      <formula>AND($L13&gt;=100000000,IF(ROW()=13,0,$L12&lt;100000000))</formula>
    </cfRule>
  </conditionalFormatting>
  <conditionalFormatting sqref="A13:M142">
    <cfRule type="expression" dxfId="1" priority="2">
      <formula>$I13="✔"</formula>
    </cfRule>
    <cfRule type="expression" dxfId="2" priority="3">
      <formula>$I13="✘"</formula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cp:revision>0</cp:revision>
  <dcterms:created xsi:type="dcterms:W3CDTF">2026-10-02T02:12:57Z</dcterms:created>
  <dcterms:modified xsi:type="dcterms:W3CDTF">2026-10-05T09:45:59Z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BB25D56D02E228E9AA13BF6A9885A442_33</vt:lpwstr>
  </property>
  <property fmtid="{D5CDD505-2E9C-101B-9397-08002B2CF9AE}" pid="3" name="KSOProductBuildVer">
    <vt:lpwstr>2052-26.9.0</vt:lpwstr>
  </property>
</Properties>
</file>